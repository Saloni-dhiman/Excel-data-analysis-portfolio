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xr:revisionPtr revIDLastSave="0" documentId="8_{A180E02C-3CC3-4928-83DE-96E55F207007}" xr6:coauthVersionLast="47" xr6:coauthVersionMax="47" xr10:uidLastSave="{00000000-0000-0000-0000-000000000000}"/>
  <bookViews>
    <workbookView xWindow="240" yWindow="105" windowWidth="14805" windowHeight="801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8" i="1" l="1"/>
  <c r="F199" i="1"/>
  <c r="F200" i="1"/>
  <c r="F201" i="1"/>
  <c r="F202" i="1"/>
  <c r="F203" i="1"/>
  <c r="F204" i="1"/>
  <c r="F205" i="1"/>
  <c r="F206" i="1"/>
  <c r="F207" i="1"/>
  <c r="F208" i="1"/>
  <c r="F197" i="1"/>
  <c r="E198" i="1"/>
  <c r="E199" i="1"/>
  <c r="E200" i="1"/>
  <c r="E201" i="1"/>
  <c r="E202" i="1"/>
  <c r="E203" i="1"/>
  <c r="E204" i="1"/>
  <c r="E205" i="1"/>
  <c r="E206" i="1"/>
  <c r="E207" i="1"/>
  <c r="E208" i="1"/>
  <c r="E197" i="1"/>
  <c r="B198" i="1"/>
  <c r="B199" i="1" s="1"/>
  <c r="B200" i="1" s="1"/>
  <c r="B201" i="1" s="1"/>
  <c r="B202" i="1" s="1"/>
  <c r="B203" i="1" s="1"/>
  <c r="B204" i="1" s="1"/>
  <c r="B205" i="1" s="1"/>
  <c r="B206" i="1" s="1"/>
  <c r="B207" i="1" s="1"/>
  <c r="B208" i="1" s="1"/>
  <c r="D181" i="1"/>
  <c r="D180" i="1"/>
  <c r="D124" i="1"/>
  <c r="D169" i="1"/>
  <c r="C154" i="1"/>
  <c r="C139" i="1" a="1"/>
  <c r="C139" i="1"/>
  <c r="F105" i="1" a="1"/>
  <c r="F105" i="1"/>
  <c r="G105" i="1"/>
  <c r="F103" i="1"/>
  <c r="G103" i="1"/>
  <c r="A103" i="1"/>
  <c r="A104" i="1"/>
  <c r="A105" i="1"/>
  <c r="A106" i="1"/>
  <c r="A107" i="1"/>
  <c r="A108" i="1"/>
  <c r="A109" i="1"/>
  <c r="A110" i="1"/>
  <c r="F102" i="1"/>
  <c r="F101" i="1"/>
  <c r="F100" i="1"/>
  <c r="F26" i="2"/>
  <c r="F25" i="2"/>
  <c r="F24"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F23" i="2"/>
  <c r="F22" i="2"/>
  <c r="F21" i="2"/>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5" i="1"/>
  <c r="F99" i="1"/>
  <c r="F98" i="1"/>
  <c r="F97" i="1"/>
  <c r="F96" i="1"/>
  <c r="F95" i="1"/>
  <c r="F94" i="1"/>
  <c r="F93" i="1"/>
  <c r="F92" i="1"/>
  <c r="F91" i="1"/>
  <c r="F90" i="1"/>
  <c r="F89" i="1"/>
  <c r="F88" i="1"/>
  <c r="F87"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18" i="2"/>
  <c r="F17" i="2"/>
  <c r="F57" i="1"/>
  <c r="F56" i="1"/>
  <c r="F55" i="1"/>
  <c r="F54" i="1"/>
  <c r="F53" i="1" a="1"/>
  <c r="F53" i="1"/>
  <c r="F52" i="1"/>
  <c r="F51" i="1"/>
  <c r="F50" i="1"/>
  <c r="F49" i="1"/>
  <c r="F48" i="1"/>
  <c r="F47" i="1"/>
  <c r="F46" i="1"/>
  <c r="F45" i="1"/>
  <c r="F44" i="1"/>
  <c r="F43" i="1"/>
  <c r="F42" i="1"/>
  <c r="F41" i="1"/>
  <c r="F40" i="1"/>
  <c r="F39" i="1"/>
  <c r="F38" i="1"/>
  <c r="F37" i="1"/>
  <c r="F36" i="1"/>
  <c r="F35" i="1"/>
  <c r="F34" i="1"/>
  <c r="G34" i="1"/>
  <c r="F33" i="1"/>
  <c r="F32" i="1"/>
  <c r="F31" i="1"/>
  <c r="F30" i="1"/>
  <c r="F16" i="2"/>
  <c r="F15" i="2"/>
  <c r="F14" i="2"/>
  <c r="F13" i="2"/>
  <c r="F12" i="2"/>
  <c r="F11" i="2"/>
  <c r="F10" i="2"/>
  <c r="F9" i="2"/>
  <c r="F8" i="2"/>
  <c r="F7" i="2"/>
  <c r="F6" i="2"/>
  <c r="F5" i="2"/>
  <c r="F4" i="2"/>
  <c r="F4" i="1"/>
  <c r="F27" i="1"/>
  <c r="F26" i="1"/>
  <c r="F25" i="1"/>
  <c r="F24" i="1"/>
  <c r="G23" i="1"/>
  <c r="F23" i="1" s="1"/>
  <c r="G22" i="1"/>
  <c r="F22" i="1" s="1"/>
  <c r="F21" i="1"/>
  <c r="F20" i="1"/>
  <c r="F19" i="1"/>
  <c r="F18" i="1"/>
  <c r="F17" i="1"/>
  <c r="F16" i="1"/>
  <c r="F15" i="1"/>
  <c r="F14" i="1"/>
  <c r="F13" i="1"/>
  <c r="F12" i="1"/>
  <c r="F11" i="1"/>
  <c r="F10" i="1"/>
  <c r="F9" i="1"/>
  <c r="F8" i="1"/>
  <c r="F7" i="1"/>
  <c r="F6" i="1"/>
  <c r="F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<sst xmlns="http://schemas.openxmlformats.org/spreadsheetml/2006/main" count="654" uniqueCount="547">
  <si>
    <t>FORMULA SHEET</t>
  </si>
  <si>
    <t>SNO.</t>
  </si>
  <si>
    <t>PARTICULARS</t>
  </si>
  <si>
    <t>USE</t>
  </si>
  <si>
    <t>SYNTAX</t>
  </si>
  <si>
    <t>EXAMPLE</t>
  </si>
  <si>
    <t xml:space="preserve">HOW TO USE </t>
  </si>
  <si>
    <t>LEFT</t>
  </si>
  <si>
    <t>Extract the characters starting from Left side of the string.</t>
  </si>
  <si>
    <t>=LEFT(String, No. of Characters)</t>
  </si>
  <si>
    <t>Extract the characters 'Nis'.</t>
  </si>
  <si>
    <t>Nistha Jain</t>
  </si>
  <si>
    <t>RIGHT</t>
  </si>
  <si>
    <t>Extract the characters starting from right side of the string.</t>
  </si>
  <si>
    <t>=RIGHT(String, No. of Characters)</t>
  </si>
  <si>
    <t>Extract the characters 'tha'.</t>
  </si>
  <si>
    <t>Nistha</t>
  </si>
  <si>
    <t>MID</t>
  </si>
  <si>
    <t>Extract the characters starting from left side of the string.</t>
  </si>
  <si>
    <t>=MID(String, Start Number, No.of Characters)</t>
  </si>
  <si>
    <t>Extract the characters 'st'.</t>
  </si>
  <si>
    <t>FIND</t>
  </si>
  <si>
    <r>
      <rPr>
        <sz val="11"/>
        <color rgb="FF000000"/>
        <rFont val="Calibri"/>
      </rPr>
      <t>Extracts the location of the character.</t>
    </r>
    <r>
      <rPr>
        <b/>
        <sz val="11"/>
        <color rgb="FF000000"/>
        <rFont val="Calibri"/>
      </rPr>
      <t>(Case Sensitive)</t>
    </r>
  </si>
  <si>
    <t>=FIND(Find Text, Within Text, [Start No.]</t>
  </si>
  <si>
    <t>Extracts the location of the character 'b' in'Bubble'.</t>
  </si>
  <si>
    <t>Bubble</t>
  </si>
  <si>
    <t>SEARCH</t>
  </si>
  <si>
    <r>
      <rPr>
        <sz val="11"/>
        <color rgb="FF000000"/>
        <rFont val="Calibri"/>
      </rPr>
      <t>SEARCH function returns the location of a character from a string.</t>
    </r>
    <r>
      <rPr>
        <b/>
        <sz val="11"/>
        <color rgb="FF000000"/>
        <rFont val="Calibri"/>
      </rPr>
      <t>(Not Case Sensitive)</t>
    </r>
  </si>
  <si>
    <t>=SEARCH(Find text, Within Text,[Start Num])</t>
  </si>
  <si>
    <t>LEN</t>
  </si>
  <si>
    <t>LEN function tells the length of string</t>
  </si>
  <si>
    <t>=LEN(Text)</t>
  </si>
  <si>
    <t>Find the length of the string 'Mohit Vohra'.</t>
  </si>
  <si>
    <t>Mohit Vohra</t>
  </si>
  <si>
    <t>TRIM</t>
  </si>
  <si>
    <t>TRIM removes extra spaces between the text.</t>
  </si>
  <si>
    <t>=TRIM(Text)</t>
  </si>
  <si>
    <t>Remove extra spaces between the text.</t>
  </si>
  <si>
    <t xml:space="preserve"> Mohit Vohra</t>
  </si>
  <si>
    <t>LOWER</t>
  </si>
  <si>
    <t>LOWER  function are used to convert text to LOWER case respectively.</t>
  </si>
  <si>
    <t>=LOWER(Text)</t>
  </si>
  <si>
    <t>Convert the whole string to LOWER case.</t>
  </si>
  <si>
    <t>UPPER</t>
  </si>
  <si>
    <t>UPPER  function are used to convert text to UPPER case respectively.</t>
  </si>
  <si>
    <t>=UPPER(Text)</t>
  </si>
  <si>
    <t>Convert the whole string to UPPER case.</t>
  </si>
  <si>
    <t>PROPER</t>
  </si>
  <si>
    <t>PROPER  function are used to convert text to PROPER case respectively.</t>
  </si>
  <si>
    <t>=PROPER(Text)</t>
  </si>
  <si>
    <t>Convert the whole string to PROPER case.</t>
  </si>
  <si>
    <t>mohit vohra</t>
  </si>
  <si>
    <t>CLEAN</t>
  </si>
  <si>
    <t>CLEAN function takes a text string and returns text that has been "cleaned" of line breaks and other non- printable characters.</t>
  </si>
  <si>
    <t>=CLEAN (Text)</t>
  </si>
  <si>
    <t>Clean the string from any non-printable characters.</t>
  </si>
  <si>
    <t>CODE</t>
  </si>
  <si>
    <t>Returns the code of a character.</t>
  </si>
  <si>
    <t>=CODE (Character)</t>
  </si>
  <si>
    <t>Write the code of a character.</t>
  </si>
  <si>
    <t>CHAR</t>
  </si>
  <si>
    <t>Returns the character based on code.</t>
  </si>
  <si>
    <t>=CHAR (Code)</t>
  </si>
  <si>
    <t>Write the character of a code.</t>
  </si>
  <si>
    <t>SUBSTITUTE</t>
  </si>
  <si>
    <t>SUBSTITUTE function replaces text in a given string by matching.</t>
  </si>
  <si>
    <t>=SUBSTITUTE(Text,Old Text, New Text,[Instance])</t>
  </si>
  <si>
    <t>Use the SUBSTITUTE function to replace 't' by searching when the location is not known.</t>
  </si>
  <si>
    <t>tuttle</t>
  </si>
  <si>
    <t>REPLACE</t>
  </si>
  <si>
    <t>REPLACE function replaces text in given string by matching.</t>
  </si>
  <si>
    <t>=REPLACE(Old Text, start number, number of char, new text)</t>
  </si>
  <si>
    <t>Use the REPLACE function to replace 't' by searching when the location is not known.</t>
  </si>
  <si>
    <t>CONCATENATE</t>
  </si>
  <si>
    <t>It joins text in different columns.</t>
  </si>
  <si>
    <t>=CONCATENATE(Text 1, Text 2,….)</t>
  </si>
  <si>
    <t>Join text in different columns.</t>
  </si>
  <si>
    <t>Mohit</t>
  </si>
  <si>
    <t>Vohra</t>
  </si>
  <si>
    <t>&amp;</t>
  </si>
  <si>
    <t>You can use &amp; to combine the string.</t>
  </si>
  <si>
    <t>=Text 1&amp;&amp;Text 2</t>
  </si>
  <si>
    <t>TEXTJOIN</t>
  </si>
  <si>
    <t>This function joins separate pieces of text into one item using specified delimiter.</t>
  </si>
  <si>
    <t>=TEXTJOIN (delimiter, ignore_empty, text1, [text2], ...)</t>
  </si>
  <si>
    <t>Join separate pieces of text into one item using specified delimiter.</t>
  </si>
  <si>
    <t>TEXT</t>
  </si>
  <si>
    <t>TEXT function returns a number in a given number format, as text.</t>
  </si>
  <si>
    <t>=TEXT (value, format_text)</t>
  </si>
  <si>
    <t>Return the given date  in a format, as text.</t>
  </si>
  <si>
    <t>VALUE</t>
  </si>
  <si>
    <t>VALUE function converts text that appears in a recognized format (i.e. a number, date, or time format) into a numeric value.</t>
  </si>
  <si>
    <t>=VALUE (text1)</t>
  </si>
  <si>
    <t>Convert the date into numeric value.</t>
  </si>
  <si>
    <t>EXACT</t>
  </si>
  <si>
    <t>EXACT function compares two text strings, taking into account upper and lower case characters, and returns TRUE if they are the same, and FALSE if not. EXACT is case-sensitive.</t>
  </si>
  <si>
    <t>=EXACT (text1)</t>
  </si>
  <si>
    <t>Find whether text in both columns are same or not?</t>
  </si>
  <si>
    <t>DOLLAR</t>
  </si>
  <si>
    <t>Convert a number to text in currency format</t>
  </si>
  <si>
    <t>=DOLLAR (text1)</t>
  </si>
  <si>
    <t>FIXED</t>
  </si>
  <si>
    <t>FIXED function converts a number to text with fixed number of decimals, rounding as needed with the given number of decimals.</t>
  </si>
  <si>
    <t>=FIXED (text1)</t>
  </si>
  <si>
    <t>Write the text with a fixed no. of decimals.</t>
  </si>
  <si>
    <t>REPT</t>
  </si>
  <si>
    <t>REPT function repeats characters a given number of times.</t>
  </si>
  <si>
    <t>=REPT (text1)</t>
  </si>
  <si>
    <t>Repeat a character a given number of times.</t>
  </si>
  <si>
    <t>*</t>
  </si>
  <si>
    <t>CELL</t>
  </si>
  <si>
    <t>Get information about a cell.</t>
  </si>
  <si>
    <t>=CELL(text1)</t>
  </si>
  <si>
    <t>not working</t>
  </si>
  <si>
    <t>INFO</t>
  </si>
  <si>
    <t>Get information about current environment</t>
  </si>
  <si>
    <t>ISBLANK</t>
  </si>
  <si>
    <t>Test if a cell is empty</t>
  </si>
  <si>
    <t>=ISBLANK(text1)</t>
  </si>
  <si>
    <t>ISERR</t>
  </si>
  <si>
    <t>Test for any error but #N/A</t>
  </si>
  <si>
    <t>=ISERR(text1)</t>
  </si>
  <si>
    <t>ISERROR</t>
  </si>
  <si>
    <t>Test for any error</t>
  </si>
  <si>
    <t>=ISERROR(text1)</t>
  </si>
  <si>
    <t>ISEVEN</t>
  </si>
  <si>
    <t>Test if a value is even</t>
  </si>
  <si>
    <t>=ISEVEN(text1)</t>
  </si>
  <si>
    <t>ISFORMULA</t>
  </si>
  <si>
    <t>Test if cell contains a formula</t>
  </si>
  <si>
    <t>=ISFORMULA(value)</t>
  </si>
  <si>
    <t>ISLOGICAL</t>
  </si>
  <si>
    <t>Test if a value is logical</t>
  </si>
  <si>
    <t>=lSLOGICAL(value)</t>
  </si>
  <si>
    <t>ISNA</t>
  </si>
  <si>
    <t>Test for the #N/A error</t>
  </si>
  <si>
    <t>=ISNA(value)</t>
  </si>
  <si>
    <t>ISNONTEXT</t>
  </si>
  <si>
    <t>Test for a non-text value</t>
  </si>
  <si>
    <t>=ISNONTEXT(value)</t>
  </si>
  <si>
    <t>abc</t>
  </si>
  <si>
    <t>ISNUMBER</t>
  </si>
  <si>
    <t>Test for numeric value</t>
  </si>
  <si>
    <t>=ISNUMBER(value)</t>
  </si>
  <si>
    <t>ISODD</t>
  </si>
  <si>
    <t>Test if a value is odd</t>
  </si>
  <si>
    <t>=ISODD(value)</t>
  </si>
  <si>
    <t>ISTEXT</t>
  </si>
  <si>
    <t>Test for a text value</t>
  </si>
  <si>
    <t>=ISTEXT(value)</t>
  </si>
  <si>
    <t>NA</t>
  </si>
  <si>
    <t>Create an #N/A error</t>
  </si>
  <si>
    <t>=NA()</t>
  </si>
  <si>
    <t>SHEET</t>
  </si>
  <si>
    <t>Get sheet index number</t>
  </si>
  <si>
    <t>=SHEET()</t>
  </si>
  <si>
    <t>TYPE</t>
  </si>
  <si>
    <t>Get the type of value in a cell</t>
  </si>
  <si>
    <t>=TYPE(value)</t>
  </si>
  <si>
    <t>RAND</t>
  </si>
  <si>
    <t>RAND function returns a random number between 0 and 1</t>
  </si>
  <si>
    <t>=RAND()</t>
  </si>
  <si>
    <t>Write a random number between 0 and 1.</t>
  </si>
  <si>
    <t>RANDBETWEEN</t>
  </si>
  <si>
    <t>RANDBETWEEN function returns a random integer between two given numbers</t>
  </si>
  <si>
    <t>=RANDBETWEEN(start no.,end no.)</t>
  </si>
  <si>
    <t>Write a random integer between two given numbers</t>
  </si>
  <si>
    <t>INT</t>
  </si>
  <si>
    <t>INT function returns the integer part of a decimal number by rounding down to the integer.</t>
  </si>
  <si>
    <t>=INT(value)</t>
  </si>
  <si>
    <t>Write down the integer part of a decimal number by rounding down to the integer.</t>
  </si>
  <si>
    <t>MOD</t>
  </si>
  <si>
    <t>MOD function returns the remainder of two numbers after division</t>
  </si>
  <si>
    <t>=MOD(no.,divisor)</t>
  </si>
  <si>
    <t>IF</t>
  </si>
  <si>
    <t>This function tests a condition. If the condition is met it is considered to be TRUE.If the condition is not met it is considered as FALSE.</t>
  </si>
  <si>
    <t>=IF (logical_test, [value_if_true], [value_if_false])</t>
  </si>
  <si>
    <t>Is the number greater than 50?</t>
  </si>
  <si>
    <t>AND</t>
  </si>
  <si>
    <t>This function tests two or more conditions to see if they are all true.It can be used to test that a series of numbers meet certain conditions.It tests whether both the conditions are met.</t>
  </si>
  <si>
    <t>=AND (logical1, [logical2], ...)</t>
  </si>
  <si>
    <t>Should live in USA and the order value is more than $100</t>
  </si>
  <si>
    <t>USA</t>
  </si>
  <si>
    <t>OR</t>
  </si>
  <si>
    <t>This function tests two or more conditions to see if they are all true.It can be used to test that a series of numbers meet certain conditions.It tests whether either condition is met.</t>
  </si>
  <si>
    <t>=OR (logical1, [logical2], ...)</t>
  </si>
  <si>
    <t>Should live in USA or the order value is more than $100</t>
  </si>
  <si>
    <t>MEXICO</t>
  </si>
  <si>
    <t>IFERROR</t>
  </si>
  <si>
    <t>IFERROR function returns a custom result when a formula generates an error, and a standard result when no error is detected</t>
  </si>
  <si>
    <t>=IFERROR (value, value_if_error)</t>
  </si>
  <si>
    <t>Write 'ERROR' a formula generates an error, and a standard result when no error is detected</t>
  </si>
  <si>
    <t>IFNA</t>
  </si>
  <si>
    <t>IFNA function is a simple way to trap and handle #N/A errors specifically without catching other errors.</t>
  </si>
  <si>
    <t>=IFNA (value, value_if_na)</t>
  </si>
  <si>
    <t>Trap and handle #N/A errors specifically without catching other errors.</t>
  </si>
  <si>
    <t xml:space="preserve">IFS </t>
  </si>
  <si>
    <t>IFS function can run multiple tests and return a value corresponding to the first TRUE result</t>
  </si>
  <si>
    <t>=IFS (test1, value1, [test2, value2], ...)</t>
  </si>
  <si>
    <t>Use the IFS function to evaluate multiple conditions without multiple nested IF statements</t>
  </si>
  <si>
    <t>0-55(FAIL),55-65(D),65-75(C),75-85(B),85-95(A),&gt;95(A+)</t>
  </si>
  <si>
    <t>TRUE function returns the Boolean value TRUE. The TRUE function is classified as a "compatibility function", needed only for compatibility with other spreadsheet applications.</t>
  </si>
  <si>
    <t>=TRUE()</t>
  </si>
  <si>
    <t>Make any value true.</t>
  </si>
  <si>
    <t>FALSE function returns the Boolean value FALSE.  The FALSE function is classified as a "compatibility function", needed only for compatibility with other spreadsheet applications.</t>
  </si>
  <si>
    <t>=FALSE()</t>
  </si>
  <si>
    <t>Make any value false.</t>
  </si>
  <si>
    <t>NOT</t>
  </si>
  <si>
    <t>NOT function returns the opposite of a given logical or Boolean value. When given TRUE, NOT returns FALSE. When given FALSE, NOT returns TRUE</t>
  </si>
  <si>
    <t>=NOT(logic)</t>
  </si>
  <si>
    <t>Whether 100 is greater than 100.</t>
  </si>
  <si>
    <t>XOR</t>
  </si>
  <si>
    <t>XOR function performs what is called "exclusive OR". With two logical statements, XOR returns TRUE if either statement is TRUE, but returns FALSE if both statements are TRUE. If neither is TRUE, XOR also returns FALSE.</t>
  </si>
  <si>
    <t>=XOR(logic1,logic2)</t>
  </si>
  <si>
    <t>Use XOR function to find if the logic is exclusive or.</t>
  </si>
  <si>
    <t>COUNT</t>
  </si>
  <si>
    <t>This function counts the number of numeric entries in a list. It will ignore blanks, text and errors.</t>
  </si>
  <si>
    <t>=COUNT(value)</t>
  </si>
  <si>
    <t>Count the value from the following.</t>
  </si>
  <si>
    <t>COUNTA</t>
  </si>
  <si>
    <t>Counts the number of non-empty cells</t>
  </si>
  <si>
    <t>=COUNTA(value)</t>
  </si>
  <si>
    <t>Count the number of non-empty cells.</t>
  </si>
  <si>
    <t>nn</t>
  </si>
  <si>
    <t>dd</t>
  </si>
  <si>
    <t>COUNTBLANK</t>
  </si>
  <si>
    <t>Counts the number of empty cells. Cells that contain text, numbers, errors, spaces, etc. are not counted.</t>
  </si>
  <si>
    <t>=COUNTBLANK(range)</t>
  </si>
  <si>
    <t>Count the number of empty cells.</t>
  </si>
  <si>
    <t>COUNTIF</t>
  </si>
  <si>
    <r>
      <rPr>
        <sz val="11"/>
        <color rgb="FF000000"/>
        <rFont val="Calibri"/>
      </rPr>
      <t xml:space="preserve">Counts the number of cells in the Range containing the given criteria, </t>
    </r>
    <r>
      <rPr>
        <b/>
        <sz val="11"/>
        <color rgb="FF000000"/>
        <rFont val="Calibri"/>
      </rPr>
      <t xml:space="preserve">criteria should be in inverted commas.                     </t>
    </r>
    <r>
      <rPr>
        <sz val="11"/>
        <color rgb="FF000000"/>
        <rFont val="Calibri"/>
      </rPr>
      <t>COUNTIF can be used to count cells that contain dates, numbers, and text.               The criteria used in COUNTIF supports logical operators (&gt;,&lt;,&lt;&gt;,=) and wildcards (*,?) for partial matching.</t>
    </r>
  </si>
  <si>
    <t>=COUNTIF(range,criteria)</t>
  </si>
  <si>
    <t>Count the number of cells if &gt;50.</t>
  </si>
  <si>
    <t>COUNTIFS</t>
  </si>
  <si>
    <t>COUNTIFS function returns the count of cells that meet one or more criteria.         COUNTIFS can be used to count cells that contain dates, numbers, and text.             The criteria used in COUNTIFS supports logical operators (&gt;,&lt;,&lt;&gt;,=) and wildcards (*,?) for partial matching.</t>
  </si>
  <si>
    <t>=COUNTIFS(range,criteria,range2,criteria2)</t>
  </si>
  <si>
    <t>Count the number of cells if G62&gt;50 and H62&lt;50.</t>
  </si>
  <si>
    <t>AVERAGE</t>
  </si>
  <si>
    <t>AVERAGE function calculates the average (arithmetic mean) of supplied numbers.   AVERAGE can handle up to 255 individual arguments</t>
  </si>
  <si>
    <t>=AVERAGE (number1, [number2], ...)</t>
  </si>
  <si>
    <t>Find average of two no.'s.</t>
  </si>
  <si>
    <t>AVERAGEA</t>
  </si>
  <si>
    <t>AVERAGEA function returns the average of a set of supplied values.                                AVERAGEA will also evaluate the logical values TRUE and FALSE, and numbers represented as text.</t>
  </si>
  <si>
    <r>
      <t>=AVERAGEA (</t>
    </r>
    <r>
      <rPr>
        <b/>
        <sz val="11"/>
        <color theme="8" tint="-0.499984740745262"/>
        <rFont val="Times New Roman"/>
        <family val="1"/>
      </rPr>
      <t>value1, [value2], ...)</t>
    </r>
  </si>
  <si>
    <t>AVERAGEIF</t>
  </si>
  <si>
    <t>AVERAGEIF function calculates the average of numbers in a range that meet supplied criteria.                                            The criteria used in AVERAGEIF supports logical operators (&gt;,&lt;,&lt;&gt;,=) and wildcards (*,?) for partial matching.</t>
  </si>
  <si>
    <t>=AVERAGEIF (range, criteria, [average_range])</t>
  </si>
  <si>
    <t>Find average of two no.'s if &gt; 50.</t>
  </si>
  <si>
    <t>AVERAGEIFS</t>
  </si>
  <si>
    <t>AVERAGEIFS function calculates the average of numbers in a range that meet one or more criteria.                                     The criteria used in AVERAGEIFS supports logical operators (&gt;,&lt;,&lt;&gt;,=) and wildcards (*,?) for partial matching.</t>
  </si>
  <si>
    <t>=AVERAGEIFS (avg_rng, range1, criteria1, [range2], [criteria2], ...)</t>
  </si>
  <si>
    <t>SMALL</t>
  </si>
  <si>
    <t>SMALL function returns the nth smallest value in an array.SMALL ignores empty cells, text values, and TRUE and FALSE values.If array contains no numeric values, SMALL returns a #NUM! error.</t>
  </si>
  <si>
    <r>
      <t>=SMALL (</t>
    </r>
    <r>
      <rPr>
        <b/>
        <sz val="11"/>
        <color theme="8" tint="-0.499984740745262"/>
        <rFont val="Times New Roman"/>
        <family val="1"/>
      </rPr>
      <t>array, k)</t>
    </r>
  </si>
  <si>
    <t>Find the smallest value from the array.</t>
  </si>
  <si>
    <t>LARGE</t>
  </si>
  <si>
    <t>LARGE function returns the nth largest value in an array. LARGE ignores empty cells, text values, and TRUE and FALSE values.If array contains no numeric values, LARGE returns a #NUM! error.</t>
  </si>
  <si>
    <r>
      <t>=LARGE (</t>
    </r>
    <r>
      <rPr>
        <b/>
        <sz val="11"/>
        <color theme="8" tint="-0.499984740745262"/>
        <rFont val="Times New Roman"/>
        <family val="1"/>
      </rPr>
      <t>array, k)</t>
    </r>
  </si>
  <si>
    <t>Find the largest value from the array.</t>
  </si>
  <si>
    <t>MAX</t>
  </si>
  <si>
    <t>MAX function returns the largest numeric value in the data provided.MAX ignores empty cells, the logical values TRUE and FALSE, and text values.</t>
  </si>
  <si>
    <t>=MAX (number1, [number2], ...)</t>
  </si>
  <si>
    <t>Find the maximum value from the array.</t>
  </si>
  <si>
    <t>MAXA</t>
  </si>
  <si>
    <t>MAXA function returns the largest numeric value in a range of values. The MAXA function ignores empty cells, but evaluates the logical values TRUE and FALSE as 1 and 0, and evaluates text as 0.</t>
  </si>
  <si>
    <t>=MAXA (value1, [value2], ...)</t>
  </si>
  <si>
    <t>MAXIFS</t>
  </si>
  <si>
    <t>MAXIFS function returns the largest numeric value that meets one or more criteria in a range of values.MAXIFS can be used with criteria based on dates, numbers, text, and other conditions. MAXIFS supports logical operators (&gt;,&lt;,&lt;&gt;,=) and wildcards (*,?) for partial matching.</t>
  </si>
  <si>
    <r>
      <t>=MAXIFS (</t>
    </r>
    <r>
      <rPr>
        <b/>
        <sz val="11"/>
        <color theme="8" tint="-0.499984740745262"/>
        <rFont val="Times New Roman"/>
        <family val="1"/>
      </rPr>
      <t>max_range, range1, criteria1, [range2], [criteria2], ...)</t>
    </r>
  </si>
  <si>
    <t>Find the maximum value from the array only if all the values are above 50.</t>
  </si>
  <si>
    <t>MIN</t>
  </si>
  <si>
    <t>MIN function returns the smallest numeric value in the data provided.MIN ignores empty cells, the logical values TRUE and FALSE, and text values.</t>
  </si>
  <si>
    <t>=MIN(number1, [number2], ...)</t>
  </si>
  <si>
    <t>Find the minimum value from the array.</t>
  </si>
  <si>
    <t>MINA</t>
  </si>
  <si>
    <t>MINA function returns the smallest numeric value in a range of values. The MINA function ignores empty cells, but evaluates the logical values TRUE and FALSE as 1 and 0, and evaluates text as 0.</t>
  </si>
  <si>
    <t>=MINA (value1, [value2], ...)</t>
  </si>
  <si>
    <t>MINIFS</t>
  </si>
  <si>
    <t>MINIFS function returns the smallest numeric value that meets one or more criteria in a range of values.MINIFS can be used with criteria based on dates, numbers, text, and other conditions. MAXIFS supports logical operators (&gt;,&lt;,&lt;&gt;,=) and wildcards (*,?) for partial matching.</t>
  </si>
  <si>
    <t>=MINIFS (max_range, range1, criteria1, [range2], [criteria2], ...)</t>
  </si>
  <si>
    <t>Find the minimum value from the array only if all the values are above 50.</t>
  </si>
  <si>
    <t>RANK.AVG</t>
  </si>
  <si>
    <t>RANK.AVG function returns the rank of a number against a list of other other numeric values. When values contain duplicates, the RANK.AVG function will assign an average rank to each set of duplicates.</t>
  </si>
  <si>
    <t>=RANK.AVG (number, ref, [order])</t>
  </si>
  <si>
    <t>Find the rank of the nimber 98.</t>
  </si>
  <si>
    <t>RANK.EQ</t>
  </si>
  <si>
    <t>RANK.EQ function returns the rank of a number against a list of other other numeric values. When values contain duplicates, RANK.EQ will assign the higher rank to each set of duplicates.</t>
  </si>
  <si>
    <t>=RANK.EQ (number, ref, [order])</t>
  </si>
  <si>
    <t>Find the rank of 89.</t>
  </si>
  <si>
    <t>MEDIAN</t>
  </si>
  <si>
    <t>MEDIAN function returns the median (middle number) in the supplied set of data.</t>
  </si>
  <si>
    <t>=MEDIAN(number1,number2)</t>
  </si>
  <si>
    <t>Find median marks.</t>
  </si>
  <si>
    <t>MODE</t>
  </si>
  <si>
    <t>MODE function returns the most frequently occurring number in a numeric data set.</t>
  </si>
  <si>
    <t>=MODE(range)</t>
  </si>
  <si>
    <t>Find mode marks.</t>
  </si>
  <si>
    <t>PERCENTILE.INC</t>
  </si>
  <si>
    <r>
      <rPr>
        <sz val="11"/>
        <color rgb="FF000000"/>
        <rFont val="Calibri"/>
      </rPr>
      <t>PERCENTILE.INC function calculates the "kth percentile" for a set of data where </t>
    </r>
    <r>
      <rPr>
        <i/>
        <sz val="11"/>
        <color rgb="FF2C2C2D"/>
        <rFont val="Times New Roman"/>
      </rPr>
      <t>k</t>
    </r>
    <r>
      <rPr>
        <sz val="11"/>
        <color rgb="FF2C2C2D"/>
        <rFont val="Times New Roman"/>
      </rPr>
      <t> is 0 to 1, inclusive.</t>
    </r>
  </si>
  <si>
    <t>=PERCENTILE.INC(array,k)</t>
  </si>
  <si>
    <t>Find percentile.inc.</t>
  </si>
  <si>
    <t>PERCENTILE.EXC</t>
  </si>
  <si>
    <r>
      <rPr>
        <sz val="11"/>
        <color rgb="FF000000"/>
        <rFont val="Calibri"/>
      </rPr>
      <t>PERCENTILE.EXC function calculates the "kth percentile" for a set of data where </t>
    </r>
    <r>
      <rPr>
        <i/>
        <sz val="11"/>
        <color rgb="FF2C2C2D"/>
        <rFont val="Times New Roman"/>
      </rPr>
      <t>k</t>
    </r>
    <r>
      <rPr>
        <sz val="11"/>
        <color rgb="FF2C2C2D"/>
        <rFont val="Times New Roman"/>
      </rPr>
      <t> is 0 to 1, inclusive. PERCENTILE.EXC function is exclusive is because the function excludes percentages from 0 to 1/(N+1) as well as N/(N+1) to 1, where N is the size of the input array. </t>
    </r>
  </si>
  <si>
    <t>=PERCENTILE.EXC(array,k)</t>
  </si>
  <si>
    <t>Find percentile.exc.</t>
  </si>
  <si>
    <t>QUARTILE.INC</t>
  </si>
  <si>
    <t>QUARTILE.INC function returns the quartile (each of four equal groups) for a given set of data. Can give max and Min as well.</t>
  </si>
  <si>
    <t>=QUARTILE.INC(array,quart)</t>
  </si>
  <si>
    <t>Find quartile.inc.</t>
  </si>
  <si>
    <t>QUARTILE.EXC</t>
  </si>
  <si>
    <t>QUARTILE.EXC can return, first quartile, second quartile, and third quartile.</t>
  </si>
  <si>
    <t>=QUARTILE.EXC(array,quart)</t>
  </si>
  <si>
    <t>Find quartile.exc.</t>
  </si>
  <si>
    <t>VAR.P</t>
  </si>
  <si>
    <t>VAR.P function returns the variance in an entire population.</t>
  </si>
  <si>
    <t>=VAR.P(number1,number2)</t>
  </si>
  <si>
    <t>Find var.p.</t>
  </si>
  <si>
    <t>VAR.S</t>
  </si>
  <si>
    <t>VAR.S function returns the variance of a sample.</t>
  </si>
  <si>
    <t>=VAR.S(number1,number2)</t>
  </si>
  <si>
    <t>Find var.s.</t>
  </si>
  <si>
    <t>DATE</t>
  </si>
  <si>
    <t>DATE function creates a valid date from individual year, month, and day components.</t>
  </si>
  <si>
    <t>=DATE(year ,month ,day)</t>
  </si>
  <si>
    <t>Use DATE Function to creat a valid date.</t>
  </si>
  <si>
    <t>DATEVALUE</t>
  </si>
  <si>
    <r>
      <rPr>
        <sz val="11"/>
        <color rgb="FF000000"/>
        <rFont val="Calibri"/>
      </rPr>
      <t>DATEVALUE function converts a date represented as a </t>
    </r>
    <r>
      <rPr>
        <u/>
        <sz val="11"/>
        <color rgb="FF0062A0"/>
        <rFont val="Times New Roman"/>
      </rPr>
      <t>text string</t>
    </r>
    <r>
      <rPr>
        <sz val="11"/>
        <color rgb="FF2C2C2D"/>
        <rFont val="Times New Roman"/>
      </rPr>
      <t> into a </t>
    </r>
    <r>
      <rPr>
        <u/>
        <sz val="11"/>
        <color rgb="FF0062A0"/>
        <rFont val="Times New Roman"/>
      </rPr>
      <t>valid Excel date.</t>
    </r>
  </si>
  <si>
    <t>=DATEVALUE (date_text)</t>
  </si>
  <si>
    <t>Use DATEVALUE Function to creat a valid date.</t>
  </si>
  <si>
    <t>DAY</t>
  </si>
  <si>
    <t>DAY function returns the day of the month as a number between 1 to 31 from a given date.</t>
  </si>
  <si>
    <t>=DAY (date)</t>
  </si>
  <si>
    <t>Use DAY Function to extract DAY from the date.</t>
  </si>
  <si>
    <t>DAYS</t>
  </si>
  <si>
    <t>DAYS function returns the number of days between two dates</t>
  </si>
  <si>
    <t>=DAYS (end_date, start_date)</t>
  </si>
  <si>
    <t>Use DAYS Function to extract no. of DAYs between the dates.</t>
  </si>
  <si>
    <t>DAYS360</t>
  </si>
  <si>
    <t>DAYS360 function returns the number of days between two dates based on a 360-day year, where all months are assumed to have 30 days</t>
  </si>
  <si>
    <t>=DAYS360 (start_date, end_date, [method])</t>
  </si>
  <si>
    <t>Use DAYS360 Function to extract no. of DAYs between the dates.</t>
  </si>
  <si>
    <t>MONTH</t>
  </si>
  <si>
    <t>MONTH function extracts the month from a given date as number between 1 to 12</t>
  </si>
  <si>
    <t>=MONTH (date)</t>
  </si>
  <si>
    <t>Use MONTH Function to extract month from the date.</t>
  </si>
  <si>
    <t>YEAR</t>
  </si>
  <si>
    <t>YEAR function returns the year component of a date as a 4-digit number</t>
  </si>
  <si>
    <t>=YEAR (date)</t>
  </si>
  <si>
    <t>Use YEAR Function to extract year from the date.</t>
  </si>
  <si>
    <t>EDATE</t>
  </si>
  <si>
    <t>EDATE function returns a date on the same day of the month, n months in the past or future.</t>
  </si>
  <si>
    <t>=EDATE (start_date, months)</t>
  </si>
  <si>
    <t>Use a positive value for months to get a date in the future, and a negative value for dates in the past.</t>
  </si>
  <si>
    <t>EOMONTH</t>
  </si>
  <si>
    <t>EOMONTH function returns the last day of the month, n months in the past or future.</t>
  </si>
  <si>
    <t>=EOMONTH (start_date, months)</t>
  </si>
  <si>
    <t>Use a positive value for months to move forward in time, and a negative number to move back in time.</t>
  </si>
  <si>
    <t>TODAY</t>
  </si>
  <si>
    <t>TODAY function returns the current date, updated continuously when a worksheet is changed or opened.</t>
  </si>
  <si>
    <t>=TODAY ()</t>
  </si>
  <si>
    <t>Use TODAY function.</t>
  </si>
  <si>
    <t>NOW</t>
  </si>
  <si>
    <t>NOW function returns the current date and time, updated continuously when a worksheet is changed or opened.</t>
  </si>
  <si>
    <t>=NOW()</t>
  </si>
  <si>
    <t>Use NOW function.</t>
  </si>
  <si>
    <t>WEEKDAY</t>
  </si>
  <si>
    <t>WEEKDAY function takes a date and returns a number between 1-7 representing the day of week.</t>
  </si>
  <si>
    <t>=WEEKDAY (serial_number, [return_type])</t>
  </si>
  <si>
    <t>Use WEEKDAY function.</t>
  </si>
  <si>
    <t>NETWORKDAYS</t>
  </si>
  <si>
    <t>NETWORKDAYS function calculates the number of working days between two dates</t>
  </si>
  <si>
    <t>=NETWORKDAYS (start_date, end_date, [holidays])</t>
  </si>
  <si>
    <t>Use NETWORKDAYS function.</t>
  </si>
  <si>
    <t>WORKDAY</t>
  </si>
  <si>
    <t>WORKDAY function takes a date and returns the nearest working day n days in the future or past</t>
  </si>
  <si>
    <t>=WORKDAY (start_date, days, [holidays])</t>
  </si>
  <si>
    <t>Use WORKDAY function.</t>
  </si>
  <si>
    <t>DATEDIF</t>
  </si>
  <si>
    <t>DATEDIF function alculates the difference between two dates in days, months, or years.</t>
  </si>
  <si>
    <t>=DATEDIF()</t>
  </si>
  <si>
    <t>Calcuate age in year's.</t>
  </si>
  <si>
    <t>ADDRESS</t>
  </si>
  <si>
    <t>ADDRESS function returns the address for a cell based on a given row and column number.Retrieving data. Wait a few seconds and try to cut or copy again.</t>
  </si>
  <si>
    <t>=ADDRESS (row_num, col_num, [abs_num], [a1], [sheet])</t>
  </si>
  <si>
    <t>Assign the address.</t>
  </si>
  <si>
    <t>ROWS</t>
  </si>
  <si>
    <t>ROW function returns the row number for a reference.</t>
  </si>
  <si>
    <t>=ROW ([reference])                                              =ROWS (array)</t>
  </si>
  <si>
    <t>Find the row number.</t>
  </si>
  <si>
    <t>COLUMNS</t>
  </si>
  <si>
    <t>COLUMN function returns the column number for a reference.</t>
  </si>
  <si>
    <t>=COLUMN ([reference])                                =COLUMNS (array)</t>
  </si>
  <si>
    <t>Find the column number.</t>
  </si>
  <si>
    <t>FORMULATEXT</t>
  </si>
  <si>
    <t>FORMULATEXT function returns a formula as a text string from a given reference.</t>
  </si>
  <si>
    <t>=FORMULATEXT (reference)</t>
  </si>
  <si>
    <t>Find the formula used in the column.</t>
  </si>
  <si>
    <t>OFFSET</t>
  </si>
  <si>
    <t>OFFSET function returns a reference to a range constructed with five inputs: (1) a starting point, (2) a row offset, (3) a column offset, (4) a height in rows, (5) a width in columns.OFFSET is handy in formulas that require a dynamic range.</t>
  </si>
  <si>
    <t>=OFFSET (reference, rows, cols, [height], [width])</t>
  </si>
  <si>
    <t>INDIRECT</t>
  </si>
  <si>
    <t> INDIRECT function returns a valid cell reference from a given text string.Option Argumnet specifies the cell style A1, R1C1.</t>
  </si>
  <si>
    <t>=INDIRECT (ref_text, [a1])</t>
  </si>
  <si>
    <t>Use INDIRECT function.</t>
  </si>
  <si>
    <t>TRANSPOSE</t>
  </si>
  <si>
    <t>TRANSPOSE function "flips" the orientation of a given range or array.TRANSPOSE flips a vertical range to a horizontal range, and flips a horizontal range to a vertical range.</t>
  </si>
  <si>
    <t>=TRANSPOSE (array)+CTRL+SHIFT+ENTER</t>
  </si>
  <si>
    <t>INDEX</t>
  </si>
  <si>
    <t>INDEX function returns the value at a given location in a range or array</t>
  </si>
  <si>
    <t>=INDEX (array, row_num, [col_num])       =INDEX (array, row_num, [col_num], [area_num])</t>
  </si>
  <si>
    <t>MATCH</t>
  </si>
  <si>
    <t>MATCH is an Excel function used to locate the position of a lookup value in a row, column, or table.MATCH supports approximate and exact matching, and wildcards (* ?) for partial matches.</t>
  </si>
  <si>
    <t>=MATCH (lookup_value, lookup_array, [match_type])</t>
  </si>
  <si>
    <t>HLOOKUP</t>
  </si>
  <si>
    <t>HLOOKUP function finds and retrieve a value from data in a horizontal table.Lookup values must appear in the first row of the table, moving horizontally to the right.</t>
  </si>
  <si>
    <t>=HLOOKUP (lookup_value, table_array, row_index, [range_lookup])</t>
  </si>
  <si>
    <t>VLOOKUP</t>
  </si>
  <si>
    <t>VLOOKUP function finds and retrieve a value from data in a vertical table.Lookup values must appear in the first column of the table, moving vertically downwards.VLOOKUP supports approximate and exact matching, and wildcards (* ?) for finding partial matches. Use &amp; and "" for wildcards.Provides first match only, in case of multiple results</t>
  </si>
  <si>
    <t>=VLOOKUP (lookup_value, table_array, column_index, [range_lookup])</t>
  </si>
  <si>
    <t>Example</t>
  </si>
  <si>
    <t>Planet</t>
  </si>
  <si>
    <t>Position'</t>
  </si>
  <si>
    <t>Diameter</t>
  </si>
  <si>
    <t>Satellites</t>
  </si>
  <si>
    <t>Mercury</t>
  </si>
  <si>
    <t>Venus</t>
  </si>
  <si>
    <t>Earth</t>
  </si>
  <si>
    <t>Mars</t>
  </si>
  <si>
    <t>Jupiter</t>
  </si>
  <si>
    <t>Saturn</t>
  </si>
  <si>
    <t>Usage</t>
  </si>
  <si>
    <t>Find 1.</t>
  </si>
  <si>
    <t>CTRL+SHIFT+ENTER</t>
  </si>
  <si>
    <t>{}</t>
  </si>
  <si>
    <t>ALT ESVE</t>
  </si>
  <si>
    <t>Uranus</t>
  </si>
  <si>
    <t>Neptune</t>
  </si>
  <si>
    <t>Pluto</t>
  </si>
  <si>
    <t>Find the location of Mars.</t>
  </si>
  <si>
    <t>INDEX/MATCH</t>
  </si>
  <si>
    <t>ID</t>
  </si>
  <si>
    <t>Name</t>
  </si>
  <si>
    <t>Salary</t>
  </si>
  <si>
    <t>Alice</t>
  </si>
  <si>
    <t>Bob</t>
  </si>
  <si>
    <t xml:space="preserve">John </t>
  </si>
  <si>
    <t>Charlie</t>
  </si>
  <si>
    <t>Richard</t>
  </si>
  <si>
    <t>Find the salary of ID number 102</t>
  </si>
  <si>
    <t>HLOOKUP/VLOOKUP/MATCH/INDEX</t>
  </si>
  <si>
    <t>Item</t>
  </si>
  <si>
    <t>Commission</t>
  </si>
  <si>
    <t>Invoice</t>
  </si>
  <si>
    <t>Revenue</t>
  </si>
  <si>
    <t>COMBINATION SHEET</t>
  </si>
  <si>
    <t>LEFT,FIND/SEARCH</t>
  </si>
  <si>
    <t>To extract name/text from between the sentence</t>
  </si>
  <si>
    <t>=LEFT (Text 1,FIND (find text,Text 1,[no. of characters]))</t>
  </si>
  <si>
    <t>Extract the file path using FIND/SEACH and LEFT:Extract the file path using FIND/SEACH and LEFT
C:\Users\eeekl\OneDrive\Desktop\Training\[Excel Training.xlsx]Application of Text Functions</t>
  </si>
  <si>
    <t>C:\Users\eeekl\OneDrive\Desktop\Training\[Excel Training.xlsx]Application of Text Functions</t>
  </si>
  <si>
    <t>CONCATENATE,TODAY</t>
  </si>
  <si>
    <t>To write todays date and combining it with 'Today's date is...'</t>
  </si>
  <si>
    <t>=CONCATENATE(Text 1," ",today())</t>
  </si>
  <si>
    <t>LEFT,UPPER</t>
  </si>
  <si>
    <t>You have full name want to extract the first name and convert it to uppercase.</t>
  </si>
  <si>
    <t>=UPPER(LEFT(string,FIND(find_text,string,[start no.])))</t>
  </si>
  <si>
    <t>You have full name and want to extract the first name and convert it to uppercase.</t>
  </si>
  <si>
    <t>LEFT,LOWER</t>
  </si>
  <si>
    <t>You have full name want to extract the first name and convert it to lowercase.</t>
  </si>
  <si>
    <t>=LOWER(LEFT(string,FIND(find_text,string,[start no.])))</t>
  </si>
  <si>
    <t>You have full name and want to extract the first name and convert it to lowercase.</t>
  </si>
  <si>
    <t>LEFT,PROPER</t>
  </si>
  <si>
    <t>You have full name want to extract the first name and convert it to propercase.</t>
  </si>
  <si>
    <t>=PROPER(LEFT(string,FIND(find_text,string,[start no.])))</t>
  </si>
  <si>
    <t>moHIt vOHra</t>
  </si>
  <si>
    <t>RIGHT,UPPER</t>
  </si>
  <si>
    <t>=UPPER(RIGHT(LEN(string)-FIND(find_text,string,[start no.])))</t>
  </si>
  <si>
    <t>You have full name and want to extract the last name and convert it to uppercase.</t>
  </si>
  <si>
    <t>RIGHT,LOWER</t>
  </si>
  <si>
    <t>=LOWER(RIGHT(LEN(string)-FIND(find_text,string,[start no.])))</t>
  </si>
  <si>
    <t>You have full name and want to extract the last name and convert it to lowercase.</t>
  </si>
  <si>
    <t>RIGHT,PROPER</t>
  </si>
  <si>
    <t>=PROPER(RIGHT(LEN(string)-FIND(find_text,string,[start no.])))</t>
  </si>
  <si>
    <t>You have full name want to extract the last name and convert it to propercase.</t>
  </si>
  <si>
    <t>moHIT vOHra</t>
  </si>
  <si>
    <t>TRIM,UPPER</t>
  </si>
  <si>
    <t>Your text has extra spaces, and you want to remove them and convert the text into upper case.</t>
  </si>
  <si>
    <t>=UPPER(TRIM(string))</t>
  </si>
  <si>
    <t xml:space="preserve">  Mohit  Vohra</t>
  </si>
  <si>
    <t>TRIM,PROPER</t>
  </si>
  <si>
    <t>Your text has extra spaces, and you want to remove them and convert the text into proper case.</t>
  </si>
  <si>
    <t>=PROPER(TRIM(string))</t>
  </si>
  <si>
    <t xml:space="preserve">  mOhit  VOHra</t>
  </si>
  <si>
    <t>TRIM,LOWER</t>
  </si>
  <si>
    <t>Your text has extra spaces, and you want to remove them and convert the text into lower case.</t>
  </si>
  <si>
    <t>=LOWER(TRIM(string))</t>
  </si>
  <si>
    <t>CONCATENATE,LEFT,UPPER,LOWER,RIGHT</t>
  </si>
  <si>
    <t>You want to extract the first name from full name, convert it to uppercase, and concatenate it with the last name (lowercase).</t>
  </si>
  <si>
    <t>=CONCATENATE(UPPER(LEFT(string,FIND(find_text,string))),LOWER(RIGHT(string,len(string)-find(find_text,string))))</t>
  </si>
  <si>
    <t>mohit Vohra</t>
  </si>
  <si>
    <t>LEN,TRIM,SUBSTITUTE</t>
  </si>
  <si>
    <t>You want to count the number of words in a sentence.</t>
  </si>
  <si>
    <t>=TRIM(LEN(string))-LEN(SUBSTITUTE(string,old_text,new_text))</t>
  </si>
  <si>
    <t>The earth revolves around the sun in 365 days.</t>
  </si>
  <si>
    <t>IF,AND</t>
  </si>
  <si>
    <t>Both the conditions are to be met and if it is so then the value shall be found out.</t>
  </si>
  <si>
    <t>=IF(AND(logic1,logic2),value if true,value if false)</t>
  </si>
  <si>
    <t>You want to calculate the shipping fee for an order based on the following rules:If the order total is greater than $ 100 and the customer is located in the USA, shipping is free.Otherwise, the shipping fee is $10.</t>
  </si>
  <si>
    <t>IF,OR,AND</t>
  </si>
  <si>
    <t>Either of the conditions are to be met and if it is so then the value shall be found out.</t>
  </si>
  <si>
    <t>=IF(OR(OR(logic1,logic2),AND(logic1,logic2),value if true,value if false))</t>
  </si>
  <si>
    <t>A salesperson is eligible for a bonus if they meet any of the following conditions: Sales ≥ $100,000 in either Q1 or Q2, and Sales in Q3 and Q4 are both ≥ $50,000.</t>
  </si>
  <si>
    <t>IFS,MODE,IF</t>
  </si>
  <si>
    <t>First the text is to be converted to no.'s to find mode.</t>
  </si>
  <si>
    <t>=IFS(MODE(number1,number2)=1,"A",MODE(number1,number2)=2,"B")</t>
  </si>
  <si>
    <t>INDEX,MATCH,MAX,&amp;</t>
  </si>
  <si>
    <t>You have to find out who has earned the highest marks and their name.</t>
  </si>
  <si>
    <t>=INDEX(array,MATCH(MAX(array),array,0))&amp;"-"&amp;MAX(array)</t>
  </si>
  <si>
    <t>DATEDIF,&amp;</t>
  </si>
  <si>
    <t>You have to find age in years,months and days.</t>
  </si>
  <si>
    <t>=DATEDIF(start date,end date,"Y")&amp;"years"&amp;" "&amp;DATEDIF(start date,end date,"ym")&amp;"months"&amp;" "&amp;DATEDIF(start date,end date,"md")&amp;"days"</t>
  </si>
  <si>
    <t>Calculate age in year's,month's and day's.</t>
  </si>
  <si>
    <t>IF,HOUR,NOW</t>
  </si>
  <si>
    <t>You wish to find whether it id morning or evening.</t>
  </si>
  <si>
    <t>=IF(HOUR(NOW())&lt;12,value if true,value if false)</t>
  </si>
  <si>
    <t>Find out whether it is Good Evening or Good Morning.</t>
  </si>
  <si>
    <t>IF,AND,TODAY,WEEKDAY</t>
  </si>
  <si>
    <t>You wish to find whether it is a weekday or weekend.</t>
  </si>
  <si>
    <t>=IF(AND(WEEKDAY(TODAY(),1)=1,WEEKDAY(TODAY(),1)=7),"Weekend","Weekday")</t>
  </si>
  <si>
    <t>Find out whether today is a weekday or a weekend.</t>
  </si>
  <si>
    <t>IF,MOD,YEAR</t>
  </si>
  <si>
    <t>You wish to find whether it is a leap year or not.</t>
  </si>
  <si>
    <t>=IF(MOD(YEAR(date),4)=0,value if true,value if false)</t>
  </si>
  <si>
    <t>Find out whether 2028 is a leap year or not.</t>
  </si>
  <si>
    <t>IF,MONTH,YEAR,&amp;</t>
  </si>
  <si>
    <t>You wish to find out the fiscal year.</t>
  </si>
  <si>
    <t>=IF(MONTH(date)&lt;4,YEAR(date)-1,YEAR(date))&amp;"-"&amp;IF(MONTH(date)&lt;4,YEAR(date),YEAR(date)+1)</t>
  </si>
  <si>
    <t>Give fiscal year in which the following dates fall.</t>
  </si>
  <si>
    <t>WEEKDAY,TODAY</t>
  </si>
  <si>
    <t>You wish to calculate next Saturday from today.</t>
  </si>
  <si>
    <t>=TODAY()+7-WEEKDAY(TODAY()-7)</t>
  </si>
  <si>
    <t>Calculate next Saturday from today.</t>
  </si>
  <si>
    <t>INDEX,MATCH</t>
  </si>
  <si>
    <t>=INDEX(array,MATCH(find text,row,0),MATCH(find text,column,0))</t>
  </si>
  <si>
    <t>IFERROR,HLOOKUP</t>
  </si>
  <si>
    <t>If you dont find the item then write 'Product Not Found'.</t>
  </si>
  <si>
    <t>=IFERROR(HLOOKUP(find text,array,row index no.,FALSE),"Product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</si>
</sst>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F800]dddd\,\ mmmm\ dd\,\ yyyy"/>
    <numFmt numFmtId="165" formatCode="_(#,##0.0%_);\(#,##0.0%\);_(&quot;–&quot;_);_(@_)"/>
    <numFmt numFmtId="166" formatCode="_(#,##0_);\(#,##0\);_(&quot;–&quot;_);_(@_)"/>
    <numFmt numFmtId="167" formatCode="000"/>
  </numFmts>
  <fonts count="34">
    <font>
      <sz val="11"/>
      <color theme="1"/>
      <name val="Aptos Narrow"/>
      <family val="2"/>
      <scheme val="minor"/>
    </font>
    <font>
      <b/>
      <sz val="11"/>
      <color theme="1"/>
      <name val="Aptos Narrow"/>
      <family val="2"/>
      <scheme val="minor"/>
    </font>
    <font>
      <b/>
      <sz val="11"/>
      <color rgb="FF000000"/>
      <name val="Calibri"/>
      <family val="2"/>
    </font>
    <font>
      <sz val="11"/>
      <color rgb="FF000000"/>
      <name val="Calibri"/>
      <family val="2"/>
    </font>
    <font>
      <sz val="11"/>
      <color rgb="FF000000"/>
      <name val="Calibri"/>
    </font>
    <font>
      <b/>
      <sz val="11"/>
      <color rgb="FF000000"/>
      <name val="Calibri"/>
    </font>
    <font>
      <b/>
      <sz val="18"/>
      <color rgb="FF000000"/>
      <name val="Aptos Narrow"/>
      <scheme val="minor"/>
    </font>
    <font>
      <b/>
      <sz val="18"/>
      <color theme="1"/>
      <name val="Aptos Narrow"/>
      <family val="2"/>
      <scheme val="minor"/>
    </font>
    <font>
      <sz val="11"/>
      <color rgb="FF000000"/>
      <name val="Calibri"/>
      <charset val="1"/>
    </font>
    <font>
      <sz val="11"/>
      <color rgb="FF000000"/>
      <name val="Aptos Narrow"/>
      <charset val="1"/>
    </font>
    <font>
      <sz val="11"/>
      <color rgb="FFFF0000"/>
      <name val="Aptos Narrow"/>
      <family val="2"/>
      <scheme val="minor"/>
    </font>
    <font>
      <b/>
      <sz val="11"/>
      <color rgb="FFFF0000"/>
      <name val="Aptos Narrow"/>
      <family val="2"/>
      <scheme val="minor"/>
    </font>
    <font>
      <b/>
      <sz val="11"/>
      <color rgb="FFFF0000"/>
      <name val="Calibri"/>
      <family val="2"/>
    </font>
    <font>
      <sz val="11"/>
      <color rgb="FFFF0000"/>
      <name val="Calibri"/>
      <family val="2"/>
    </font>
    <font>
      <sz val="11"/>
      <color theme="1"/>
      <name val="Calibri"/>
      <family val="2"/>
    </font>
    <font>
      <b/>
      <sz val="11"/>
      <color theme="8" tint="-0.499984740745262"/>
      <name val="Calibri"/>
      <family val="2"/>
    </font>
    <font>
      <b/>
      <sz val="11"/>
      <color theme="8" tint="-0.499984740745262"/>
      <name val="Aptos Narrow"/>
      <family val="2"/>
      <scheme val="minor"/>
    </font>
    <font>
      <b/>
      <sz val="11"/>
      <color theme="8" tint="-0.499984740745262"/>
      <name val="Times New Roman"/>
      <family val="1"/>
    </font>
    <font>
      <sz val="11"/>
      <color rgb="FF2C2C2D"/>
      <name val="Calibri"/>
    </font>
    <font>
      <i/>
      <sz val="11"/>
      <color rgb="FF2C2C2D"/>
      <name val="Times New Roman"/>
    </font>
    <font>
      <sz val="11"/>
      <color rgb="FF2C2C2D"/>
      <name val="Times New Roman"/>
    </font>
    <font>
      <u/>
      <sz val="11"/>
      <color rgb="FF0062A0"/>
      <name val="Times New Roman"/>
    </font>
    <font>
      <sz val="11"/>
      <color theme="1"/>
      <name val="Aptos Narrow"/>
      <family val="2"/>
      <scheme val="minor"/>
    </font>
    <font>
      <b/>
      <sz val="11"/>
      <color theme="1"/>
      <name val="Calibri"/>
      <family val="2"/>
      <scheme val="minor"/>
    </font>
    <font>
      <b/>
      <sz val="11"/>
      <color theme="8" tint="-0.499984740745262"/>
      <name val="Calibri"/>
      <family val="2"/>
      <scheme val="minor"/>
    </font>
    <font>
      <b/>
      <sz val="11"/>
      <color rgb="FF000000"/>
      <name val="Calibri"/>
      <family val="2"/>
      <scheme val="minor"/>
    </font>
    <font>
      <sz val="11"/>
      <color rgb="FF000000"/>
      <name val="Aptos Narrow"/>
      <family val="2"/>
      <scheme val="minor"/>
    </font>
    <font>
      <sz val="11"/>
      <color rgb="FF000000"/>
      <name val="Aptos Narrow"/>
      <scheme val="minor"/>
    </font>
    <font>
      <b/>
      <sz val="10"/>
      <color theme="1"/>
      <name val="Open Sans"/>
      <family val="2"/>
    </font>
    <font>
      <sz val="10"/>
      <color rgb="FF3271D2"/>
      <name val="Open Sans"/>
      <family val="2"/>
    </font>
    <font>
      <sz val="11"/>
      <color theme="1"/>
      <name val="Calibri"/>
      <family val="2"/>
      <scheme val="minor"/>
    </font>
    <font>
      <sz val="10"/>
      <color theme="1"/>
      <name val="Open Sans"/>
      <family val="2"/>
    </font>
    <font>
      <sz val="11"/>
      <color rgb="FF3271D2"/>
      <name val="Calibri"/>
      <family val="2"/>
      <scheme val="minor"/>
    </font>
    <font>
      <sz val="11"/>
      <color rgb="FF000000"/>
      <name val="Calibri"/>
      <family val="2"/>
      <scheme val="minor"/>
    </font>
  </fonts>
  <fills count="4">
    <fill>
      <patternFill patternType="none"/>
    </fill>
    <fill>
      <patternFill patternType="gray125"/>
    </fill>
    <fill>
      <patternFill patternType="solid">
        <fgColor rgb="FFF2F2F2"/>
        <bgColor rgb="FF000000"/>
      </patternFill>
    </fill>
    <fill>
      <patternFill patternType="solid">
        <fgColor theme="0"/>
        <bgColor rgb="FF000000"/>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indexed="64"/>
      </left>
      <right style="thin">
        <color indexed="64"/>
      </right>
      <top style="thin">
        <color indexed="64"/>
      </top>
      <bottom/>
      <diagonal/>
    </border>
    <border>
      <left style="thin">
        <color rgb="FF000000"/>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indexed="64"/>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top/>
      <bottom style="thin">
        <color rgb="FF000000"/>
      </bottom>
      <diagonal/>
    </border>
    <border>
      <left style="thin">
        <color auto="1"/>
      </left>
      <right style="thin">
        <color auto="1"/>
      </right>
      <top/>
      <bottom style="thin">
        <color rgb="FF000000"/>
      </bottom>
      <diagonal/>
    </border>
    <border>
      <left/>
      <right style="thin">
        <color auto="1"/>
      </right>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rgb="FF000000"/>
      </right>
      <top style="thin">
        <color indexed="64"/>
      </top>
      <bottom/>
      <diagonal/>
    </border>
    <border>
      <left style="thin">
        <color rgb="FF000000"/>
      </left>
      <right style="thin">
        <color rgb="FF000000"/>
      </right>
      <top style="thin">
        <color auto="1"/>
      </top>
      <bottom/>
      <diagonal/>
    </border>
    <border>
      <left style="hair">
        <color rgb="FF000000"/>
      </left>
      <right style="hair">
        <color rgb="FF000000"/>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style="thin">
        <color auto="1"/>
      </left>
      <right/>
      <top style="thin">
        <color auto="1"/>
      </top>
      <bottom style="thin">
        <color auto="1"/>
      </bottom>
      <diagonal/>
    </border>
  </borders>
  <cellStyleXfs count="3">
    <xf numFmtId="0" fontId="0" fillId="0" borderId="0"/>
    <xf numFmtId="43" fontId="22" fillId="0" borderId="0" applyFont="0" applyFill="0" applyBorder="0" applyAlignment="0" applyProtection="0"/>
    <xf numFmtId="9" fontId="30" fillId="0" borderId="0" applyFont="0" applyFill="0" applyBorder="0" applyAlignment="0" applyProtection="0"/>
  </cellStyleXfs>
  <cellXfs count="213">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Border="1" applyAlignment="1"/>
    <xf numFmtId="0" fontId="1" fillId="0" borderId="2" xfId="0" applyFont="1" applyBorder="1" applyAlignment="1">
      <alignment horizontal="left"/>
    </xf>
    <xf numFmtId="0" fontId="0" fillId="0" borderId="2" xfId="0" applyBorder="1" applyAlignment="1">
      <alignment horizontal="left"/>
    </xf>
    <xf numFmtId="0" fontId="1" fillId="0" borderId="0" xfId="0" applyFont="1" applyBorder="1" applyAlignment="1">
      <alignment horizontal="left"/>
    </xf>
    <xf numFmtId="0" fontId="0" fillId="0" borderId="0" xfId="0" applyAlignment="1"/>
    <xf numFmtId="0" fontId="1" fillId="0" borderId="4" xfId="0" applyFont="1" applyBorder="1" applyAlignment="1">
      <alignment horizontal="left"/>
    </xf>
    <xf numFmtId="0" fontId="1" fillId="0" borderId="5" xfId="0" applyFont="1" applyBorder="1" applyAlignment="1">
      <alignment horizontal="left"/>
    </xf>
    <xf numFmtId="0" fontId="0" fillId="0" borderId="5" xfId="0" applyBorder="1" applyAlignment="1">
      <alignment horizontal="left"/>
    </xf>
    <xf numFmtId="0" fontId="0" fillId="0" borderId="10" xfId="0" applyBorder="1" applyAlignment="1">
      <alignment horizontal="left"/>
    </xf>
    <xf numFmtId="0" fontId="1" fillId="0" borderId="7" xfId="0" applyFont="1" applyBorder="1" applyAlignment="1">
      <alignment horizontal="left"/>
    </xf>
    <xf numFmtId="0" fontId="0" fillId="0" borderId="0" xfId="0" applyBorder="1" applyAlignment="1">
      <alignment horizontal="left"/>
    </xf>
    <xf numFmtId="0" fontId="1" fillId="0" borderId="2" xfId="0" applyFont="1" applyBorder="1" applyAlignment="1"/>
    <xf numFmtId="0" fontId="0" fillId="0" borderId="2" xfId="0" quotePrefix="1" applyBorder="1" applyAlignment="1">
      <alignment horizontal="left" wrapText="1"/>
    </xf>
    <xf numFmtId="0" fontId="0" fillId="0" borderId="2" xfId="0" applyBorder="1" applyAlignment="1">
      <alignment wrapText="1"/>
    </xf>
    <xf numFmtId="0" fontId="3" fillId="0" borderId="10" xfId="0" applyFont="1" applyBorder="1" applyAlignment="1">
      <alignment wrapText="1"/>
    </xf>
    <xf numFmtId="0" fontId="7" fillId="0" borderId="0" xfId="0" applyFont="1" applyAlignment="1">
      <alignment horizontal="center"/>
    </xf>
    <xf numFmtId="0" fontId="23" fillId="0" borderId="0" xfId="0" applyFont="1"/>
    <xf numFmtId="0" fontId="0" fillId="0" borderId="10" xfId="0" applyBorder="1" applyAlignment="1"/>
    <xf numFmtId="0" fontId="0" fillId="0" borderId="0" xfId="0" applyAlignment="1">
      <alignment wrapText="1"/>
    </xf>
    <xf numFmtId="0" fontId="0" fillId="0" borderId="4" xfId="0" applyBorder="1" applyAlignment="1">
      <alignment wrapText="1"/>
    </xf>
    <xf numFmtId="0" fontId="24" fillId="0" borderId="2" xfId="0" quotePrefix="1" applyFont="1" applyBorder="1" applyAlignment="1">
      <alignment wrapText="1"/>
    </xf>
    <xf numFmtId="0" fontId="24" fillId="0" borderId="4" xfId="0" quotePrefix="1" applyFont="1" applyBorder="1" applyAlignment="1">
      <alignment wrapText="1"/>
    </xf>
    <xf numFmtId="0" fontId="27" fillId="0" borderId="0" xfId="0" applyFont="1" applyAlignment="1">
      <alignment horizontal="left" vertical="center" indent="1"/>
    </xf>
    <xf numFmtId="14" fontId="0" fillId="0" borderId="1" xfId="0" applyNumberFormat="1" applyBorder="1" applyAlignment="1">
      <alignment horizontal="left" vertical="center" wrapText="1"/>
    </xf>
    <xf numFmtId="0" fontId="0" fillId="0" borderId="10" xfId="0" applyBorder="1" applyAlignment="1">
      <alignment wrapText="1"/>
    </xf>
    <xf numFmtId="0" fontId="0" fillId="0" borderId="1" xfId="0" applyBorder="1"/>
    <xf numFmtId="0" fontId="1" fillId="0" borderId="0" xfId="0" applyFont="1" applyBorder="1" applyAlignment="1">
      <alignment horizontal="left" vertical="center"/>
    </xf>
    <xf numFmtId="0" fontId="6" fillId="0" borderId="0" xfId="0" applyFont="1" applyBorder="1" applyAlignment="1">
      <alignment horizontal="left" vertical="center"/>
    </xf>
    <xf numFmtId="0" fontId="0" fillId="0" borderId="0" xfId="0" applyBorder="1" applyAlignment="1">
      <alignment horizontal="left" vertical="center"/>
    </xf>
    <xf numFmtId="0" fontId="0" fillId="0" borderId="0" xfId="0" applyBorder="1" applyAlignment="1">
      <alignment horizontal="left" vertical="center"/>
    </xf>
    <xf numFmtId="0" fontId="0" fillId="0" borderId="0" xfId="0" applyAlignment="1">
      <alignment horizontal="left" vertical="center"/>
    </xf>
    <xf numFmtId="0" fontId="1" fillId="0" borderId="2" xfId="0" applyFont="1" applyBorder="1" applyAlignment="1">
      <alignment horizontal="left" vertical="center"/>
    </xf>
    <xf numFmtId="0" fontId="16" fillId="0" borderId="2" xfId="0" applyFont="1" applyBorder="1" applyAlignment="1">
      <alignment horizontal="left"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3" xfId="0" applyFont="1" applyBorder="1" applyAlignment="1">
      <alignment horizontal="left" vertical="center"/>
    </xf>
    <xf numFmtId="0" fontId="2" fillId="0" borderId="3" xfId="0" applyFont="1" applyBorder="1" applyAlignment="1">
      <alignment horizontal="left" vertical="center"/>
    </xf>
    <xf numFmtId="0" fontId="3" fillId="0" borderId="3" xfId="0" applyFont="1" applyBorder="1" applyAlignment="1">
      <alignment horizontal="left" vertical="center" wrapText="1"/>
    </xf>
    <xf numFmtId="0" fontId="15" fillId="0" borderId="3" xfId="0" quotePrefix="1" applyFont="1"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0" borderId="5" xfId="0" applyBorder="1" applyAlignment="1">
      <alignment horizontal="left" vertical="center"/>
    </xf>
    <xf numFmtId="0" fontId="2" fillId="0" borderId="2" xfId="0" applyFont="1" applyBorder="1" applyAlignment="1">
      <alignment horizontal="left" vertical="center"/>
    </xf>
    <xf numFmtId="0" fontId="3" fillId="0" borderId="2" xfId="0" applyFont="1" applyBorder="1" applyAlignment="1">
      <alignment horizontal="left" vertical="center" wrapText="1"/>
    </xf>
    <xf numFmtId="0" fontId="15" fillId="0" borderId="2" xfId="0" quotePrefix="1" applyFont="1" applyBorder="1" applyAlignment="1">
      <alignment horizontal="left" vertical="center"/>
    </xf>
    <xf numFmtId="0" fontId="15" fillId="0" borderId="2" xfId="0" quotePrefix="1" applyFont="1" applyBorder="1" applyAlignment="1">
      <alignment horizontal="left" vertical="center" wrapText="1"/>
    </xf>
    <xf numFmtId="0" fontId="4" fillId="0" borderId="2" xfId="0" applyFont="1" applyBorder="1" applyAlignment="1">
      <alignment horizontal="left" vertical="center" wrapText="1"/>
    </xf>
    <xf numFmtId="0" fontId="3" fillId="0" borderId="2" xfId="0" applyFont="1" applyBorder="1" applyAlignment="1">
      <alignment horizontal="left" vertical="center"/>
    </xf>
    <xf numFmtId="0" fontId="0" fillId="0" borderId="2" xfId="0" applyBorder="1" applyAlignment="1">
      <alignment horizontal="left" vertical="center" wrapText="1"/>
    </xf>
    <xf numFmtId="14" fontId="0" fillId="0" borderId="2" xfId="0" applyNumberFormat="1" applyBorder="1" applyAlignment="1">
      <alignment horizontal="left" vertical="center"/>
    </xf>
    <xf numFmtId="0" fontId="11" fillId="0" borderId="2" xfId="0" applyFont="1" applyBorder="1" applyAlignment="1">
      <alignment horizontal="left" vertical="center"/>
    </xf>
    <xf numFmtId="0" fontId="12" fillId="0" borderId="2" xfId="0" applyFont="1" applyBorder="1" applyAlignment="1">
      <alignment horizontal="left" vertical="center"/>
    </xf>
    <xf numFmtId="0" fontId="13" fillId="0" borderId="2" xfId="0" applyFont="1" applyBorder="1" applyAlignment="1">
      <alignment horizontal="left" vertical="center"/>
    </xf>
    <xf numFmtId="0" fontId="16" fillId="0" borderId="2" xfId="0" quotePrefix="1" applyFont="1" applyBorder="1" applyAlignment="1">
      <alignment horizontal="left" vertical="center"/>
    </xf>
    <xf numFmtId="0" fontId="10" fillId="0" borderId="5" xfId="0" applyFont="1" applyBorder="1" applyAlignment="1">
      <alignment horizontal="left" vertical="center"/>
    </xf>
    <xf numFmtId="0" fontId="13" fillId="0" borderId="2" xfId="0" applyFont="1" applyBorder="1" applyAlignment="1">
      <alignment horizontal="left" vertical="center" wrapText="1"/>
    </xf>
    <xf numFmtId="0" fontId="3" fillId="0" borderId="5" xfId="0" applyFont="1" applyBorder="1" applyAlignment="1">
      <alignment horizontal="left" vertical="center"/>
    </xf>
    <xf numFmtId="0" fontId="2" fillId="0" borderId="4" xfId="0" applyFont="1" applyBorder="1" applyAlignment="1">
      <alignment horizontal="left" vertical="center"/>
    </xf>
    <xf numFmtId="0" fontId="3" fillId="0" borderId="4" xfId="0" applyFont="1" applyBorder="1" applyAlignment="1">
      <alignment horizontal="left" vertical="center"/>
    </xf>
    <xf numFmtId="0" fontId="15" fillId="0" borderId="4" xfId="0" quotePrefix="1" applyFont="1" applyBorder="1" applyAlignment="1">
      <alignment horizontal="left" vertical="center"/>
    </xf>
    <xf numFmtId="0" fontId="3" fillId="0" borderId="7" xfId="0" applyFont="1" applyBorder="1" applyAlignment="1">
      <alignment horizontal="left" vertical="center"/>
    </xf>
    <xf numFmtId="0" fontId="2" fillId="0" borderId="2" xfId="0" applyFont="1" applyBorder="1" applyAlignment="1">
      <alignment vertical="center"/>
    </xf>
    <xf numFmtId="0" fontId="3" fillId="0" borderId="2" xfId="0" applyFont="1" applyBorder="1" applyAlignment="1">
      <alignment vertical="center" wrapText="1"/>
    </xf>
    <xf numFmtId="0" fontId="15" fillId="0" borderId="2" xfId="0" quotePrefix="1" applyFont="1" applyBorder="1" applyAlignment="1">
      <alignment vertical="center" wrapText="1"/>
    </xf>
    <xf numFmtId="0" fontId="3" fillId="0" borderId="2" xfId="0" applyFont="1" applyBorder="1" applyAlignment="1">
      <alignment vertical="center"/>
    </xf>
    <xf numFmtId="0" fontId="15" fillId="0" borderId="2" xfId="0" quotePrefix="1" applyFont="1" applyBorder="1" applyAlignment="1">
      <alignment vertical="center"/>
    </xf>
    <xf numFmtId="0" fontId="5" fillId="0" borderId="2" xfId="0" applyFont="1" applyBorder="1" applyAlignment="1">
      <alignment vertical="center"/>
    </xf>
    <xf numFmtId="0" fontId="14" fillId="0" borderId="2" xfId="0" applyFont="1" applyBorder="1" applyAlignment="1">
      <alignment vertical="center" wrapText="1"/>
    </xf>
    <xf numFmtId="0" fontId="0" fillId="0" borderId="7" xfId="0" applyBorder="1" applyAlignment="1">
      <alignment horizontal="left" vertical="center"/>
    </xf>
    <xf numFmtId="0" fontId="2" fillId="0" borderId="4" xfId="0" applyFont="1" applyBorder="1" applyAlignment="1">
      <alignment vertical="center"/>
    </xf>
    <xf numFmtId="0" fontId="14" fillId="0" borderId="4" xfId="0" applyFont="1" applyBorder="1" applyAlignment="1">
      <alignment vertical="center" wrapText="1"/>
    </xf>
    <xf numFmtId="0" fontId="15" fillId="0" borderId="4" xfId="0" quotePrefix="1" applyFont="1" applyBorder="1" applyAlignment="1">
      <alignment vertical="center"/>
    </xf>
    <xf numFmtId="0" fontId="14" fillId="0" borderId="7" xfId="0" applyFont="1" applyBorder="1" applyAlignment="1">
      <alignment vertical="center" wrapText="1"/>
    </xf>
    <xf numFmtId="0" fontId="0" fillId="0" borderId="8" xfId="0" applyBorder="1" applyAlignment="1">
      <alignment horizontal="left" vertical="center"/>
    </xf>
    <xf numFmtId="0" fontId="3" fillId="0" borderId="5" xfId="0" applyFont="1" applyBorder="1" applyAlignment="1">
      <alignment horizontal="left" vertical="center" wrapText="1"/>
    </xf>
    <xf numFmtId="0" fontId="16" fillId="0" borderId="9" xfId="0" quotePrefix="1" applyFont="1" applyBorder="1" applyAlignment="1">
      <alignment horizontal="left" vertical="center"/>
    </xf>
    <xf numFmtId="0" fontId="0" fillId="0" borderId="3" xfId="0" applyBorder="1" applyAlignment="1">
      <alignment horizontal="left" vertical="center"/>
    </xf>
    <xf numFmtId="0" fontId="0" fillId="0" borderId="5" xfId="0" quotePrefix="1" applyBorder="1" applyAlignment="1">
      <alignment horizontal="left" vertical="center"/>
    </xf>
    <xf numFmtId="0" fontId="16" fillId="0" borderId="10" xfId="0" quotePrefix="1" applyFont="1" applyBorder="1" applyAlignment="1">
      <alignment horizontal="left" vertical="center"/>
    </xf>
    <xf numFmtId="0" fontId="3" fillId="0" borderId="4" xfId="0" applyFont="1" applyBorder="1" applyAlignment="1">
      <alignment vertical="center" wrapText="1"/>
    </xf>
    <xf numFmtId="0" fontId="16" fillId="0" borderId="11" xfId="0" quotePrefix="1" applyFont="1" applyBorder="1" applyAlignment="1">
      <alignment horizontal="left" vertical="center"/>
    </xf>
    <xf numFmtId="0" fontId="0" fillId="0" borderId="4" xfId="0" applyBorder="1" applyAlignment="1">
      <alignment horizontal="left" vertical="center" wrapText="1"/>
    </xf>
    <xf numFmtId="0" fontId="3" fillId="0" borderId="5" xfId="0" applyFont="1" applyBorder="1" applyAlignment="1">
      <alignment vertical="center" wrapText="1"/>
    </xf>
    <xf numFmtId="0" fontId="3" fillId="0" borderId="8" xfId="0" applyFont="1" applyBorder="1" applyAlignment="1">
      <alignment horizontal="left" vertical="center"/>
    </xf>
    <xf numFmtId="0" fontId="4" fillId="0" borderId="2" xfId="0" applyFont="1" applyBorder="1" applyAlignment="1">
      <alignment vertical="center" wrapText="1"/>
    </xf>
    <xf numFmtId="0" fontId="3" fillId="0" borderId="7" xfId="0" applyFont="1" applyBorder="1" applyAlignment="1">
      <alignment vertical="center" wrapText="1"/>
    </xf>
    <xf numFmtId="0" fontId="16" fillId="0" borderId="2" xfId="0" quotePrefix="1" applyFont="1" applyBorder="1" applyAlignment="1">
      <alignment horizontal="left" vertical="center" wrapText="1"/>
    </xf>
    <xf numFmtId="0" fontId="3" fillId="0" borderId="0" xfId="0" applyFont="1" applyBorder="1" applyAlignment="1">
      <alignment vertical="center" wrapText="1"/>
    </xf>
    <xf numFmtId="0" fontId="15" fillId="0" borderId="3" xfId="0" quotePrefix="1" applyFont="1" applyBorder="1" applyAlignment="1">
      <alignment vertical="center"/>
    </xf>
    <xf numFmtId="0" fontId="15" fillId="0" borderId="4" xfId="0" quotePrefix="1" applyFont="1" applyBorder="1" applyAlignment="1">
      <alignment vertical="center" wrapText="1"/>
    </xf>
    <xf numFmtId="0" fontId="0" fillId="0" borderId="4" xfId="0" applyBorder="1" applyAlignment="1">
      <alignment horizontal="left" vertical="center"/>
    </xf>
    <xf numFmtId="0" fontId="5" fillId="0" borderId="7" xfId="0" applyFont="1" applyBorder="1" applyAlignment="1">
      <alignment vertical="center"/>
    </xf>
    <xf numFmtId="0" fontId="4" fillId="0" borderId="4" xfId="0" quotePrefix="1" applyFont="1" applyBorder="1" applyAlignment="1">
      <alignment vertical="center" wrapText="1"/>
    </xf>
    <xf numFmtId="0" fontId="0" fillId="0" borderId="10" xfId="0" applyBorder="1" applyAlignment="1">
      <alignment horizontal="left" vertical="center"/>
    </xf>
    <xf numFmtId="0" fontId="2" fillId="0" borderId="7" xfId="0" applyFont="1" applyBorder="1" applyAlignment="1">
      <alignment vertical="center"/>
    </xf>
    <xf numFmtId="0" fontId="0" fillId="0" borderId="11" xfId="0" applyBorder="1" applyAlignment="1">
      <alignment horizontal="left" vertical="center"/>
    </xf>
    <xf numFmtId="0" fontId="3" fillId="0" borderId="6" xfId="0" applyFont="1" applyBorder="1" applyAlignment="1">
      <alignment vertical="center" wrapText="1"/>
    </xf>
    <xf numFmtId="0" fontId="4" fillId="0" borderId="12" xfId="0" quotePrefix="1" applyFont="1" applyBorder="1" applyAlignment="1">
      <alignment vertical="center" wrapText="1"/>
    </xf>
    <xf numFmtId="0" fontId="18" fillId="0" borderId="4" xfId="0" applyFont="1" applyBorder="1" applyAlignment="1">
      <alignment vertical="center" wrapText="1"/>
    </xf>
    <xf numFmtId="0" fontId="4" fillId="0" borderId="5" xfId="0" quotePrefix="1" applyFont="1" applyBorder="1" applyAlignment="1">
      <alignment vertical="center" wrapText="1"/>
    </xf>
    <xf numFmtId="0" fontId="4" fillId="0" borderId="7" xfId="0" quotePrefix="1" applyFont="1" applyBorder="1" applyAlignment="1">
      <alignment vertical="center" wrapText="1"/>
    </xf>
    <xf numFmtId="0" fontId="4" fillId="0" borderId="2" xfId="0" quotePrefix="1" applyFont="1" applyBorder="1" applyAlignment="1">
      <alignment vertical="center" wrapText="1"/>
    </xf>
    <xf numFmtId="0" fontId="16" fillId="0" borderId="13" xfId="0" quotePrefix="1" applyFont="1" applyBorder="1" applyAlignment="1">
      <alignment horizontal="left" vertical="center"/>
    </xf>
    <xf numFmtId="0" fontId="0" fillId="0" borderId="9" xfId="0" applyBorder="1" applyAlignment="1">
      <alignment horizontal="left" vertical="center"/>
    </xf>
    <xf numFmtId="14" fontId="0" fillId="0" borderId="11" xfId="0" applyNumberFormat="1" applyBorder="1" applyAlignment="1">
      <alignment horizontal="left" vertical="center"/>
    </xf>
    <xf numFmtId="0" fontId="15" fillId="0" borderId="7" xfId="0" quotePrefix="1" applyFont="1" applyBorder="1" applyAlignment="1">
      <alignment vertical="center"/>
    </xf>
    <xf numFmtId="164" fontId="3" fillId="0" borderId="1" xfId="0" applyNumberFormat="1" applyFont="1" applyBorder="1" applyAlignment="1">
      <alignment horizontal="left" vertical="center"/>
    </xf>
    <xf numFmtId="0" fontId="3" fillId="0" borderId="10" xfId="0" applyFont="1" applyBorder="1" applyAlignment="1">
      <alignment vertical="center" wrapText="1"/>
    </xf>
    <xf numFmtId="0" fontId="0" fillId="0" borderId="2" xfId="0" applyNumberFormat="1" applyBorder="1" applyAlignment="1">
      <alignment horizontal="left" vertical="center"/>
    </xf>
    <xf numFmtId="14" fontId="0" fillId="0" borderId="1" xfId="0" applyNumberFormat="1" applyBorder="1" applyAlignment="1">
      <alignment horizontal="left" vertical="center"/>
    </xf>
    <xf numFmtId="0" fontId="23" fillId="0" borderId="4" xfId="0" applyFont="1" applyBorder="1" applyAlignment="1">
      <alignment vertical="center"/>
    </xf>
    <xf numFmtId="0" fontId="0" fillId="0" borderId="4" xfId="0" applyBorder="1" applyAlignment="1">
      <alignment vertical="center" wrapText="1"/>
    </xf>
    <xf numFmtId="0" fontId="24" fillId="0" borderId="4" xfId="0" quotePrefix="1" applyFont="1" applyBorder="1" applyAlignment="1">
      <alignment vertical="center"/>
    </xf>
    <xf numFmtId="0" fontId="3" fillId="0" borderId="11" xfId="0" applyFont="1" applyBorder="1" applyAlignment="1">
      <alignment vertical="center" wrapText="1"/>
    </xf>
    <xf numFmtId="14" fontId="0" fillId="0" borderId="14" xfId="0" applyNumberFormat="1" applyBorder="1" applyAlignment="1">
      <alignment horizontal="left" vertical="center"/>
    </xf>
    <xf numFmtId="0" fontId="0" fillId="0" borderId="2" xfId="0" applyBorder="1" applyAlignment="1">
      <alignment vertical="center" wrapText="1"/>
    </xf>
    <xf numFmtId="0" fontId="23" fillId="0" borderId="2" xfId="0" applyFont="1" applyBorder="1" applyAlignment="1">
      <alignment vertical="center"/>
    </xf>
    <xf numFmtId="0" fontId="24" fillId="0" borderId="2" xfId="0" quotePrefix="1" applyFont="1" applyBorder="1" applyAlignment="1">
      <alignment vertical="center"/>
    </xf>
    <xf numFmtId="22" fontId="24" fillId="0" borderId="4" xfId="0" quotePrefix="1" applyNumberFormat="1" applyFont="1" applyBorder="1" applyAlignment="1">
      <alignment vertical="center"/>
    </xf>
    <xf numFmtId="22" fontId="0" fillId="0" borderId="2" xfId="0" applyNumberFormat="1" applyBorder="1" applyAlignment="1">
      <alignment horizontal="left" vertical="center"/>
    </xf>
    <xf numFmtId="0" fontId="24" fillId="0" borderId="4" xfId="0" quotePrefix="1" applyFont="1" applyBorder="1" applyAlignment="1">
      <alignment vertical="center" wrapText="1"/>
    </xf>
    <xf numFmtId="0" fontId="0" fillId="0" borderId="1" xfId="0" applyBorder="1" applyAlignment="1">
      <alignment horizontal="left" vertical="center"/>
    </xf>
    <xf numFmtId="0" fontId="0" fillId="0" borderId="0" xfId="0" applyAlignment="1">
      <alignment vertical="center"/>
    </xf>
    <xf numFmtId="0" fontId="16" fillId="0" borderId="0" xfId="0" applyFont="1" applyAlignment="1">
      <alignment horizontal="left" vertical="center"/>
    </xf>
    <xf numFmtId="0" fontId="25" fillId="0" borderId="4" xfId="0" applyFont="1" applyBorder="1" applyAlignment="1">
      <alignment vertical="center"/>
    </xf>
    <xf numFmtId="0" fontId="26" fillId="0" borderId="4" xfId="0" applyFont="1" applyBorder="1" applyAlignment="1">
      <alignment vertical="center" wrapText="1"/>
    </xf>
    <xf numFmtId="0" fontId="0" fillId="0" borderId="2" xfId="0" applyBorder="1" applyAlignment="1">
      <alignment vertical="center"/>
    </xf>
    <xf numFmtId="0" fontId="1" fillId="0" borderId="7" xfId="0" applyFont="1" applyBorder="1" applyAlignment="1">
      <alignment horizontal="left" vertical="center"/>
    </xf>
    <xf numFmtId="0" fontId="1" fillId="0" borderId="4" xfId="0" applyFont="1" applyBorder="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xf>
    <xf numFmtId="0" fontId="0" fillId="0" borderId="5" xfId="0" applyBorder="1" applyAlignment="1">
      <alignment wrapText="1"/>
    </xf>
    <xf numFmtId="0" fontId="23" fillId="0" borderId="7" xfId="0" applyFont="1" applyBorder="1" applyAlignment="1">
      <alignment vertical="center"/>
    </xf>
    <xf numFmtId="0" fontId="24" fillId="0" borderId="11" xfId="0" quotePrefix="1" applyFont="1" applyBorder="1" applyAlignment="1">
      <alignment vertical="center"/>
    </xf>
    <xf numFmtId="0" fontId="0" fillId="0" borderId="12" xfId="0" applyBorder="1" applyAlignment="1">
      <alignment vertical="center" wrapText="1"/>
    </xf>
    <xf numFmtId="0" fontId="0" fillId="0" borderId="2" xfId="0" applyBorder="1" applyAlignment="1">
      <alignment horizontal="left" vertical="top" wrapText="1"/>
    </xf>
    <xf numFmtId="0" fontId="0" fillId="0" borderId="7" xfId="0" applyBorder="1" applyAlignment="1">
      <alignment vertical="top" wrapText="1"/>
    </xf>
    <xf numFmtId="0" fontId="0" fillId="0" borderId="4" xfId="0" applyBorder="1" applyAlignment="1">
      <alignment vertical="top" wrapText="1"/>
    </xf>
    <xf numFmtId="0" fontId="1" fillId="0" borderId="15" xfId="0" applyFont="1" applyBorder="1" applyAlignment="1">
      <alignment horizontal="left" vertical="center"/>
    </xf>
    <xf numFmtId="0" fontId="0" fillId="0" borderId="7" xfId="0" applyBorder="1" applyAlignment="1">
      <alignment wrapText="1"/>
    </xf>
    <xf numFmtId="0" fontId="0" fillId="0" borderId="2" xfId="0" quotePrefix="1" applyBorder="1" applyAlignment="1">
      <alignment horizontal="left" vertical="center" wrapText="1"/>
    </xf>
    <xf numFmtId="0" fontId="0" fillId="0" borderId="2" xfId="0" quotePrefix="1" applyBorder="1" applyAlignment="1">
      <alignment horizontal="left" vertical="center"/>
    </xf>
    <xf numFmtId="0" fontId="1" fillId="0" borderId="2" xfId="0" applyFont="1" applyBorder="1" applyAlignment="1">
      <alignment horizontal="left" vertical="center" wrapText="1"/>
    </xf>
    <xf numFmtId="0" fontId="3" fillId="0" borderId="10" xfId="0" applyFont="1" applyBorder="1" applyAlignment="1">
      <alignment horizontal="left" wrapText="1"/>
    </xf>
    <xf numFmtId="0" fontId="9" fillId="0" borderId="10" xfId="0" applyFont="1" applyBorder="1" applyAlignment="1">
      <alignment wrapText="1"/>
    </xf>
    <xf numFmtId="0" fontId="3" fillId="0" borderId="10" xfId="0" applyFont="1" applyBorder="1" applyAlignment="1"/>
    <xf numFmtId="0" fontId="0" fillId="0" borderId="10" xfId="0" applyBorder="1" applyAlignment="1">
      <alignment horizontal="left" wrapText="1"/>
    </xf>
    <xf numFmtId="0" fontId="0" fillId="0" borderId="11" xfId="0" applyBorder="1" applyAlignment="1">
      <alignment horizontal="left" wrapText="1"/>
    </xf>
    <xf numFmtId="0" fontId="8" fillId="0" borderId="5" xfId="0" applyFont="1" applyBorder="1" applyAlignment="1">
      <alignment horizontal="left" vertical="center" wrapText="1"/>
    </xf>
    <xf numFmtId="0" fontId="0" fillId="0" borderId="5" xfId="0" quotePrefix="1" applyBorder="1" applyAlignment="1">
      <alignment horizontal="left" vertical="center" wrapText="1"/>
    </xf>
    <xf numFmtId="14" fontId="3" fillId="0" borderId="2" xfId="0" applyNumberFormat="1" applyFont="1" applyBorder="1" applyAlignment="1">
      <alignment horizontal="left" vertical="center" wrapText="1"/>
    </xf>
    <xf numFmtId="164" fontId="0" fillId="0" borderId="0" xfId="0" applyNumberFormat="1" applyAlignment="1">
      <alignment horizontal="left" vertical="center"/>
    </xf>
    <xf numFmtId="0" fontId="0" fillId="0" borderId="10" xfId="0" applyBorder="1" applyAlignment="1">
      <alignment vertical="center" wrapText="1"/>
    </xf>
    <xf numFmtId="0" fontId="0" fillId="0" borderId="0" xfId="0" applyBorder="1" applyAlignment="1">
      <alignment vertical="center"/>
    </xf>
    <xf numFmtId="14" fontId="0" fillId="0" borderId="4" xfId="0" quotePrefix="1" applyNumberFormat="1" applyBorder="1" applyAlignment="1">
      <alignment horizontal="left" vertical="center"/>
    </xf>
    <xf numFmtId="0" fontId="0" fillId="0" borderId="11" xfId="0" applyBorder="1"/>
    <xf numFmtId="0" fontId="23" fillId="0" borderId="17" xfId="0" applyFont="1" applyBorder="1"/>
    <xf numFmtId="0" fontId="23" fillId="0" borderId="19" xfId="0" applyFont="1" applyBorder="1"/>
    <xf numFmtId="0" fontId="23" fillId="0" borderId="14" xfId="0" applyFont="1" applyBorder="1"/>
    <xf numFmtId="0" fontId="0" fillId="0" borderId="14" xfId="0" applyBorder="1"/>
    <xf numFmtId="0" fontId="0" fillId="0" borderId="21" xfId="0" applyBorder="1"/>
    <xf numFmtId="0" fontId="23" fillId="0" borderId="5" xfId="0" applyFont="1" applyBorder="1" applyAlignment="1">
      <alignment vertical="center"/>
    </xf>
    <xf numFmtId="0" fontId="0" fillId="0" borderId="26" xfId="0" applyBorder="1"/>
    <xf numFmtId="0" fontId="23" fillId="0" borderId="29" xfId="0" applyFont="1" applyBorder="1"/>
    <xf numFmtId="0" fontId="23" fillId="0" borderId="30" xfId="0" applyFont="1" applyBorder="1"/>
    <xf numFmtId="0" fontId="23" fillId="0" borderId="17" xfId="0" applyFont="1" applyBorder="1" applyAlignment="1">
      <alignment horizontal="left"/>
    </xf>
    <xf numFmtId="0" fontId="23" fillId="0" borderId="30" xfId="0" applyFont="1" applyBorder="1" applyAlignment="1">
      <alignment horizontal="left"/>
    </xf>
    <xf numFmtId="0" fontId="23" fillId="0" borderId="19" xfId="0" applyFont="1" applyBorder="1" applyAlignment="1">
      <alignment horizontal="left"/>
    </xf>
    <xf numFmtId="0" fontId="23" fillId="0" borderId="14" xfId="0" applyFont="1" applyBorder="1" applyAlignment="1">
      <alignment horizontal="left"/>
    </xf>
    <xf numFmtId="0" fontId="0" fillId="0" borderId="17" xfId="0" applyBorder="1" applyAlignment="1">
      <alignment horizontal="left"/>
    </xf>
    <xf numFmtId="0" fontId="0" fillId="0" borderId="14"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7" xfId="0" applyBorder="1" applyAlignment="1">
      <alignment horizontal="left"/>
    </xf>
    <xf numFmtId="0" fontId="0" fillId="0" borderId="26" xfId="0" applyBorder="1" applyAlignment="1">
      <alignment horizontal="left"/>
    </xf>
    <xf numFmtId="0" fontId="0" fillId="0" borderId="28" xfId="0" applyBorder="1" applyAlignment="1">
      <alignment horizontal="left"/>
    </xf>
    <xf numFmtId="0" fontId="23" fillId="0" borderId="18" xfId="0" applyFont="1"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3" fontId="0" fillId="0" borderId="1" xfId="0" applyNumberFormat="1" applyBorder="1"/>
    <xf numFmtId="0" fontId="26" fillId="0" borderId="0" xfId="0" applyFont="1" applyAlignment="1">
      <alignment horizontal="left" vertical="center"/>
    </xf>
    <xf numFmtId="0" fontId="26" fillId="0" borderId="0" xfId="0" applyFont="1" applyAlignment="1">
      <alignment horizontal="left"/>
    </xf>
    <xf numFmtId="0" fontId="28" fillId="0" borderId="31" xfId="0" applyFont="1" applyBorder="1"/>
    <xf numFmtId="0" fontId="29" fillId="0" borderId="32" xfId="0" applyFont="1" applyBorder="1" applyAlignment="1">
      <alignment horizontal="center"/>
    </xf>
    <xf numFmtId="0" fontId="29" fillId="0" borderId="33" xfId="0" applyFont="1" applyBorder="1" applyAlignment="1">
      <alignment horizontal="center"/>
    </xf>
    <xf numFmtId="0" fontId="28" fillId="0" borderId="34" xfId="0" applyFont="1" applyBorder="1"/>
    <xf numFmtId="165" fontId="29" fillId="0" borderId="35" xfId="2" applyNumberFormat="1" applyFont="1" applyFill="1" applyBorder="1" applyAlignment="1">
      <alignment horizontal="center"/>
    </xf>
    <xf numFmtId="165" fontId="29" fillId="0" borderId="36" xfId="2" applyNumberFormat="1" applyFont="1" applyFill="1" applyBorder="1" applyAlignment="1">
      <alignment horizontal="center"/>
    </xf>
    <xf numFmtId="0" fontId="31" fillId="0" borderId="0" xfId="0" applyFont="1"/>
    <xf numFmtId="0" fontId="28" fillId="0" borderId="37" xfId="0" applyFont="1" applyBorder="1" applyAlignment="1">
      <alignment horizontal="center"/>
    </xf>
    <xf numFmtId="0" fontId="28" fillId="0" borderId="38" xfId="0" applyFont="1" applyBorder="1" applyAlignment="1">
      <alignment horizontal="center"/>
    </xf>
    <xf numFmtId="0" fontId="29" fillId="0" borderId="39" xfId="0" applyFont="1" applyBorder="1" applyAlignment="1">
      <alignment horizontal="center"/>
    </xf>
    <xf numFmtId="165" fontId="29" fillId="0" borderId="40" xfId="2" applyNumberFormat="1" applyFont="1" applyFill="1" applyBorder="1" applyAlignment="1">
      <alignment horizontal="center"/>
    </xf>
    <xf numFmtId="0" fontId="29" fillId="0" borderId="41" xfId="0" applyFont="1" applyBorder="1" applyAlignment="1">
      <alignment horizontal="center"/>
    </xf>
    <xf numFmtId="0" fontId="25" fillId="0" borderId="1" xfId="0" applyFont="1" applyBorder="1" applyAlignment="1">
      <alignment horizontal="center"/>
    </xf>
    <xf numFmtId="167" fontId="32" fillId="0" borderId="1" xfId="0" applyNumberFormat="1" applyFont="1" applyBorder="1" applyAlignment="1">
      <alignment horizontal="center"/>
    </xf>
    <xf numFmtId="0" fontId="32" fillId="0" borderId="1" xfId="0" applyFont="1" applyBorder="1" applyAlignment="1">
      <alignment horizontal="center"/>
    </xf>
    <xf numFmtId="43" fontId="32" fillId="0" borderId="1" xfId="1" applyFont="1" applyBorder="1"/>
    <xf numFmtId="167" fontId="33" fillId="0" borderId="1" xfId="0" applyNumberFormat="1" applyFont="1" applyBorder="1" applyAlignment="1">
      <alignment horizontal="center"/>
    </xf>
    <xf numFmtId="0" fontId="25" fillId="0" borderId="2" xfId="0" applyFont="1" applyBorder="1" applyAlignment="1">
      <alignment horizontal="center"/>
    </xf>
    <xf numFmtId="166" fontId="25" fillId="0" borderId="42" xfId="0" applyNumberFormat="1" applyFont="1" applyBorder="1" applyAlignment="1">
      <alignment horizontal="right"/>
    </xf>
    <xf numFmtId="0" fontId="25" fillId="0" borderId="0" xfId="0" applyFont="1" applyBorder="1" applyAlignment="1">
      <alignment horizontal="center"/>
    </xf>
    <xf numFmtId="165" fontId="33" fillId="3" borderId="0" xfId="2" applyNumberFormat="1" applyFont="1" applyFill="1" applyBorder="1" applyAlignment="1">
      <alignment horizontal="center"/>
    </xf>
    <xf numFmtId="0" fontId="25" fillId="0" borderId="5" xfId="0" applyFont="1" applyBorder="1" applyAlignment="1">
      <alignment horizontal="center"/>
    </xf>
    <xf numFmtId="0" fontId="31" fillId="0" borderId="0" xfId="0" applyFont="1" applyBorder="1"/>
    <xf numFmtId="165" fontId="33" fillId="2" borderId="2" xfId="2" applyNumberFormat="1" applyFont="1" applyFill="1" applyBorder="1" applyAlignment="1">
      <alignment horizontal="center"/>
    </xf>
    <xf numFmtId="165" fontId="33" fillId="2" borderId="16" xfId="2" applyNumberFormat="1" applyFont="1" applyFill="1" applyBorder="1" applyAlignment="1">
      <alignment horizontal="center"/>
    </xf>
  </cellXfs>
  <cellStyles count="3">
    <cellStyle name="Comma" xfId="1" builtinId="3"/>
    <cellStyle name="Normal" xfId="0" builtinId="0"/>
    <cellStyle name="Percent 2" xfId="2" xr:uid="{45C6E839-1F11-470B-96D4-2C867FB6073A}"/>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08"/>
  <sheetViews>
    <sheetView tabSelected="1" topLeftCell="D203" workbookViewId="0">
      <selection activeCell="F196" sqref="F196:F208"/>
    </sheetView>
  </sheetViews>
  <sheetFormatPr defaultColWidth="20.7109375" defaultRowHeight="15"/>
  <cols>
    <col min="1" max="1" width="20.7109375" style="37"/>
    <col min="2" max="2" width="36.5703125" style="37" bestFit="1" customWidth="1"/>
    <col min="3" max="3" width="36.5703125" style="33" bestFit="1" customWidth="1"/>
    <col min="4" max="4" width="36.5703125" style="126" bestFit="1" customWidth="1"/>
    <col min="5" max="6" width="36.5703125" style="33" bestFit="1" customWidth="1"/>
    <col min="7" max="7" width="24.5703125" style="33" bestFit="1" customWidth="1"/>
    <col min="8" max="8" width="36.5703125" style="33" bestFit="1" customWidth="1"/>
    <col min="9" max="16384" width="20.7109375" style="33"/>
  </cols>
  <sheetData>
    <row r="2" spans="1:11" ht="24">
      <c r="A2" s="29"/>
      <c r="B2" s="29"/>
      <c r="C2" s="30" t="s">
        <v>0</v>
      </c>
      <c r="D2" s="31"/>
      <c r="E2" s="32"/>
      <c r="F2" s="32"/>
      <c r="G2" s="32"/>
      <c r="H2" s="32"/>
      <c r="I2" s="32"/>
      <c r="J2" s="32"/>
      <c r="K2" s="32"/>
    </row>
    <row r="3" spans="1:11" s="37" customFormat="1">
      <c r="A3" s="34" t="s">
        <v>1</v>
      </c>
      <c r="B3" s="34" t="s">
        <v>2</v>
      </c>
      <c r="C3" s="34" t="s">
        <v>3</v>
      </c>
      <c r="D3" s="35" t="s">
        <v>4</v>
      </c>
      <c r="E3" s="34" t="s">
        <v>5</v>
      </c>
      <c r="F3" s="36" t="s">
        <v>6</v>
      </c>
      <c r="G3" s="34"/>
      <c r="H3" s="36"/>
      <c r="I3" s="34"/>
    </row>
    <row r="4" spans="1:11" ht="30.75">
      <c r="A4" s="38">
        <v>1</v>
      </c>
      <c r="B4" s="39" t="s">
        <v>7</v>
      </c>
      <c r="C4" s="40" t="s">
        <v>8</v>
      </c>
      <c r="D4" s="41" t="s">
        <v>9</v>
      </c>
      <c r="E4" s="40" t="s">
        <v>10</v>
      </c>
      <c r="F4" s="42" t="str">
        <f>LEFT(G4,3)</f>
        <v>Nis</v>
      </c>
      <c r="G4" s="43" t="s">
        <v>11</v>
      </c>
      <c r="H4" s="44"/>
      <c r="I4" s="43"/>
    </row>
    <row r="5" spans="1:11" ht="30.75">
      <c r="A5" s="34">
        <f>A4+1</f>
        <v>2</v>
      </c>
      <c r="B5" s="45" t="s">
        <v>12</v>
      </c>
      <c r="C5" s="46" t="s">
        <v>13</v>
      </c>
      <c r="D5" s="47" t="s">
        <v>14</v>
      </c>
      <c r="E5" s="46" t="s">
        <v>15</v>
      </c>
      <c r="F5" s="44" t="str">
        <f>RIGHT(G5,3)</f>
        <v>tha</v>
      </c>
      <c r="G5" s="43" t="s">
        <v>16</v>
      </c>
      <c r="H5" s="44"/>
      <c r="I5" s="43"/>
    </row>
    <row r="6" spans="1:11" ht="30.75">
      <c r="A6" s="34">
        <f t="shared" ref="A6:A69" si="0">A5+1</f>
        <v>3</v>
      </c>
      <c r="B6" s="45" t="s">
        <v>17</v>
      </c>
      <c r="C6" s="46" t="s">
        <v>18</v>
      </c>
      <c r="D6" s="48" t="s">
        <v>19</v>
      </c>
      <c r="E6" s="46" t="s">
        <v>20</v>
      </c>
      <c r="F6" s="44" t="str">
        <f>MID(G6,3,2)</f>
        <v>st</v>
      </c>
      <c r="G6" s="43" t="s">
        <v>16</v>
      </c>
      <c r="H6" s="44"/>
      <c r="I6" s="43"/>
    </row>
    <row r="7" spans="1:11" ht="30.75">
      <c r="A7" s="34">
        <f t="shared" si="0"/>
        <v>4</v>
      </c>
      <c r="B7" s="45" t="s">
        <v>21</v>
      </c>
      <c r="C7" s="49" t="s">
        <v>22</v>
      </c>
      <c r="D7" s="47" t="s">
        <v>23</v>
      </c>
      <c r="E7" s="46" t="s">
        <v>24</v>
      </c>
      <c r="F7" s="44">
        <f>FIND("b",G7)</f>
        <v>3</v>
      </c>
      <c r="G7" s="43" t="s">
        <v>25</v>
      </c>
      <c r="H7" s="44"/>
      <c r="I7" s="43"/>
    </row>
    <row r="8" spans="1:11" ht="45.75">
      <c r="A8" s="34">
        <f t="shared" si="0"/>
        <v>5</v>
      </c>
      <c r="B8" s="45" t="s">
        <v>26</v>
      </c>
      <c r="C8" s="49" t="s">
        <v>27</v>
      </c>
      <c r="D8" s="48" t="s">
        <v>28</v>
      </c>
      <c r="E8" s="46" t="s">
        <v>24</v>
      </c>
      <c r="F8" s="44">
        <f>SEARCH("b",G8)</f>
        <v>1</v>
      </c>
      <c r="G8" s="43" t="s">
        <v>25</v>
      </c>
      <c r="H8" s="44"/>
      <c r="I8" s="43"/>
    </row>
    <row r="9" spans="1:11">
      <c r="A9" s="34">
        <f t="shared" si="0"/>
        <v>6</v>
      </c>
      <c r="B9" s="45" t="s">
        <v>29</v>
      </c>
      <c r="C9" s="50" t="s">
        <v>30</v>
      </c>
      <c r="D9" s="47" t="s">
        <v>31</v>
      </c>
      <c r="E9" s="43" t="s">
        <v>32</v>
      </c>
      <c r="F9" s="44">
        <f>LEN(G9)</f>
        <v>11</v>
      </c>
      <c r="G9" s="43" t="s">
        <v>33</v>
      </c>
      <c r="H9" s="44"/>
      <c r="I9" s="43"/>
    </row>
    <row r="10" spans="1:11" ht="30.75">
      <c r="A10" s="34">
        <f t="shared" si="0"/>
        <v>7</v>
      </c>
      <c r="B10" s="45" t="s">
        <v>34</v>
      </c>
      <c r="C10" s="46" t="s">
        <v>35</v>
      </c>
      <c r="D10" s="47" t="s">
        <v>36</v>
      </c>
      <c r="E10" s="46" t="s">
        <v>37</v>
      </c>
      <c r="F10" s="44" t="str">
        <f>TRIM(G10)</f>
        <v>Mohit Vohra</v>
      </c>
      <c r="G10" s="43" t="s">
        <v>38</v>
      </c>
      <c r="H10" s="44"/>
      <c r="I10" s="43"/>
    </row>
    <row r="11" spans="1:11" ht="30.75">
      <c r="A11" s="34">
        <f t="shared" si="0"/>
        <v>8</v>
      </c>
      <c r="B11" s="45" t="s">
        <v>39</v>
      </c>
      <c r="C11" s="46" t="s">
        <v>40</v>
      </c>
      <c r="D11" s="47" t="s">
        <v>41</v>
      </c>
      <c r="E11" s="43" t="s">
        <v>42</v>
      </c>
      <c r="F11" s="44" t="str">
        <f>LOWER(G11)</f>
        <v>mohit vohra</v>
      </c>
      <c r="G11" s="43" t="s">
        <v>33</v>
      </c>
      <c r="H11" s="44"/>
      <c r="I11" s="43"/>
    </row>
    <row r="12" spans="1:11" ht="30.75">
      <c r="A12" s="34">
        <f t="shared" si="0"/>
        <v>9</v>
      </c>
      <c r="B12" s="34" t="s">
        <v>43</v>
      </c>
      <c r="C12" s="46" t="s">
        <v>44</v>
      </c>
      <c r="D12" s="47" t="s">
        <v>45</v>
      </c>
      <c r="E12" s="43" t="s">
        <v>46</v>
      </c>
      <c r="F12" s="44" t="str">
        <f>UPPER(G12)</f>
        <v>MOHIT VOHRA</v>
      </c>
      <c r="G12" s="43" t="s">
        <v>33</v>
      </c>
      <c r="H12" s="44"/>
      <c r="I12" s="43"/>
    </row>
    <row r="13" spans="1:11" ht="30.75">
      <c r="A13" s="34">
        <f t="shared" si="0"/>
        <v>10</v>
      </c>
      <c r="B13" s="34" t="s">
        <v>47</v>
      </c>
      <c r="C13" s="46" t="s">
        <v>48</v>
      </c>
      <c r="D13" s="47" t="s">
        <v>49</v>
      </c>
      <c r="E13" s="43" t="s">
        <v>50</v>
      </c>
      <c r="F13" s="44" t="str">
        <f>PROPER(G13)</f>
        <v>Mohit Vohra</v>
      </c>
      <c r="G13" s="43" t="s">
        <v>51</v>
      </c>
      <c r="H13" s="44"/>
      <c r="I13" s="43"/>
    </row>
    <row r="14" spans="1:11" ht="60.75">
      <c r="A14" s="34">
        <f t="shared" si="0"/>
        <v>11</v>
      </c>
      <c r="B14" s="45" t="s">
        <v>52</v>
      </c>
      <c r="C14" s="46" t="s">
        <v>53</v>
      </c>
      <c r="D14" s="47" t="s">
        <v>54</v>
      </c>
      <c r="E14" s="51" t="s">
        <v>55</v>
      </c>
      <c r="F14" s="44" t="str">
        <f>CLEAN(G14)</f>
        <v>Mohit Vohra</v>
      </c>
      <c r="G14" s="43" t="s">
        <v>33</v>
      </c>
      <c r="H14" s="44"/>
      <c r="I14" s="43"/>
    </row>
    <row r="15" spans="1:11">
      <c r="A15" s="34">
        <f t="shared" si="0"/>
        <v>12</v>
      </c>
      <c r="B15" s="45" t="s">
        <v>56</v>
      </c>
      <c r="C15" s="50" t="s">
        <v>57</v>
      </c>
      <c r="D15" s="47" t="s">
        <v>58</v>
      </c>
      <c r="E15" s="50" t="s">
        <v>59</v>
      </c>
      <c r="F15" s="44">
        <f>CODE(G15)</f>
        <v>77</v>
      </c>
      <c r="G15" s="43" t="s">
        <v>33</v>
      </c>
      <c r="H15" s="44"/>
      <c r="I15" s="43"/>
    </row>
    <row r="16" spans="1:11">
      <c r="A16" s="34">
        <f t="shared" si="0"/>
        <v>13</v>
      </c>
      <c r="B16" s="45" t="s">
        <v>60</v>
      </c>
      <c r="C16" s="50" t="s">
        <v>61</v>
      </c>
      <c r="D16" s="47" t="s">
        <v>62</v>
      </c>
      <c r="E16" s="50" t="s">
        <v>63</v>
      </c>
      <c r="F16" s="44" t="str">
        <f>CHAR(G16)</f>
        <v>M</v>
      </c>
      <c r="G16" s="43">
        <v>77</v>
      </c>
      <c r="H16" s="44"/>
      <c r="I16" s="43"/>
    </row>
    <row r="17" spans="1:9" ht="45.75">
      <c r="A17" s="34">
        <f t="shared" si="0"/>
        <v>14</v>
      </c>
      <c r="B17" s="45" t="s">
        <v>64</v>
      </c>
      <c r="C17" s="46" t="s">
        <v>65</v>
      </c>
      <c r="D17" s="48" t="s">
        <v>66</v>
      </c>
      <c r="E17" s="46" t="s">
        <v>67</v>
      </c>
      <c r="F17" s="44" t="str">
        <f>SUBSTITUTE(G17,"t","b")</f>
        <v>bubble</v>
      </c>
      <c r="G17" s="43" t="s">
        <v>68</v>
      </c>
      <c r="H17" s="44"/>
      <c r="I17" s="43"/>
    </row>
    <row r="18" spans="1:9" ht="45.75">
      <c r="A18" s="34">
        <f t="shared" si="0"/>
        <v>15</v>
      </c>
      <c r="B18" s="45" t="s">
        <v>69</v>
      </c>
      <c r="C18" s="46" t="s">
        <v>70</v>
      </c>
      <c r="D18" s="48" t="s">
        <v>71</v>
      </c>
      <c r="E18" s="46" t="s">
        <v>72</v>
      </c>
      <c r="F18" s="44" t="str">
        <f>REPLACE(G18,1,6,"bubble")</f>
        <v>bubble</v>
      </c>
      <c r="G18" s="43" t="s">
        <v>68</v>
      </c>
      <c r="H18" s="44"/>
      <c r="I18" s="43"/>
    </row>
    <row r="19" spans="1:9">
      <c r="A19" s="34">
        <f t="shared" si="0"/>
        <v>16</v>
      </c>
      <c r="B19" s="45" t="s">
        <v>73</v>
      </c>
      <c r="C19" s="50" t="s">
        <v>74</v>
      </c>
      <c r="D19" s="47" t="s">
        <v>75</v>
      </c>
      <c r="E19" s="50" t="s">
        <v>76</v>
      </c>
      <c r="F19" s="44" t="str">
        <f>CONCATENATE(G19," ",H19)</f>
        <v>Mohit Vohra</v>
      </c>
      <c r="G19" s="43" t="s">
        <v>77</v>
      </c>
      <c r="H19" s="44" t="s">
        <v>78</v>
      </c>
      <c r="I19" s="43"/>
    </row>
    <row r="20" spans="1:9">
      <c r="A20" s="34">
        <f t="shared" si="0"/>
        <v>17</v>
      </c>
      <c r="B20" s="45" t="s">
        <v>79</v>
      </c>
      <c r="C20" s="50" t="s">
        <v>80</v>
      </c>
      <c r="D20" s="47" t="s">
        <v>81</v>
      </c>
      <c r="E20" s="50" t="s">
        <v>76</v>
      </c>
      <c r="F20" s="44" t="str">
        <f>G20&amp;" "&amp;H20</f>
        <v>Mohit Vohra</v>
      </c>
      <c r="G20" s="43" t="s">
        <v>77</v>
      </c>
      <c r="H20" s="44" t="s">
        <v>78</v>
      </c>
      <c r="I20" s="43"/>
    </row>
    <row r="21" spans="1:9" ht="45.75">
      <c r="A21" s="34">
        <f t="shared" si="0"/>
        <v>18</v>
      </c>
      <c r="B21" s="45" t="s">
        <v>82</v>
      </c>
      <c r="C21" s="46" t="s">
        <v>83</v>
      </c>
      <c r="D21" s="48" t="s">
        <v>84</v>
      </c>
      <c r="E21" s="46" t="s">
        <v>85</v>
      </c>
      <c r="F21" s="44" t="str">
        <f>_xlfn.TEXTJOIN(",",TRUE,G21:H21)</f>
        <v>Mohit,Vohra</v>
      </c>
      <c r="G21" s="43" t="s">
        <v>77</v>
      </c>
      <c r="H21" s="44" t="s">
        <v>78</v>
      </c>
      <c r="I21" s="43"/>
    </row>
    <row r="22" spans="1:9" ht="30.75">
      <c r="A22" s="34">
        <f t="shared" si="0"/>
        <v>19</v>
      </c>
      <c r="B22" s="45" t="s">
        <v>86</v>
      </c>
      <c r="C22" s="46" t="s">
        <v>87</v>
      </c>
      <c r="D22" s="47" t="s">
        <v>88</v>
      </c>
      <c r="E22" s="46" t="s">
        <v>89</v>
      </c>
      <c r="F22" s="44" t="str">
        <f ca="1">TEXT(G22,"mmm-dd-yy")</f>
        <v>Oct-03-25</v>
      </c>
      <c r="G22" s="52">
        <f ca="1">TODAY()</f>
        <v>45933</v>
      </c>
      <c r="H22" s="44"/>
      <c r="I22" s="43"/>
    </row>
    <row r="23" spans="1:9" ht="60.75">
      <c r="A23" s="34">
        <f t="shared" si="0"/>
        <v>20</v>
      </c>
      <c r="B23" s="45" t="s">
        <v>90</v>
      </c>
      <c r="C23" s="46" t="s">
        <v>91</v>
      </c>
      <c r="D23" s="47" t="s">
        <v>92</v>
      </c>
      <c r="E23" s="43" t="s">
        <v>93</v>
      </c>
      <c r="F23" s="44">
        <f ca="1">VALUE(G23)</f>
        <v>45933</v>
      </c>
      <c r="G23" s="52">
        <f ca="1">TODAY()</f>
        <v>45933</v>
      </c>
      <c r="H23" s="44"/>
      <c r="I23" s="43"/>
    </row>
    <row r="24" spans="1:9" ht="76.5">
      <c r="A24" s="34">
        <f t="shared" si="0"/>
        <v>21</v>
      </c>
      <c r="B24" s="45" t="s">
        <v>94</v>
      </c>
      <c r="C24" s="46" t="s">
        <v>95</v>
      </c>
      <c r="D24" s="47" t="s">
        <v>96</v>
      </c>
      <c r="E24" s="46" t="s">
        <v>97</v>
      </c>
      <c r="F24" s="44" t="b">
        <f>EXACT(G24,H24)</f>
        <v>1</v>
      </c>
      <c r="G24" s="43" t="s">
        <v>33</v>
      </c>
      <c r="H24" s="44" t="s">
        <v>33</v>
      </c>
      <c r="I24" s="43"/>
    </row>
    <row r="25" spans="1:9" ht="30.75">
      <c r="A25" s="34">
        <f t="shared" si="0"/>
        <v>22</v>
      </c>
      <c r="B25" s="45" t="s">
        <v>98</v>
      </c>
      <c r="C25" s="46" t="s">
        <v>99</v>
      </c>
      <c r="D25" s="47" t="s">
        <v>100</v>
      </c>
      <c r="E25" s="46" t="s">
        <v>99</v>
      </c>
      <c r="F25" s="44" t="str">
        <f>DOLLAR(G25)</f>
        <v>$1,222,344.00</v>
      </c>
      <c r="G25" s="43">
        <v>1222344</v>
      </c>
      <c r="H25" s="44"/>
      <c r="I25" s="43"/>
    </row>
    <row r="26" spans="1:9" ht="60.75">
      <c r="A26" s="34">
        <f t="shared" si="0"/>
        <v>23</v>
      </c>
      <c r="B26" s="45" t="s">
        <v>101</v>
      </c>
      <c r="C26" s="46" t="s">
        <v>102</v>
      </c>
      <c r="D26" s="47" t="s">
        <v>103</v>
      </c>
      <c r="E26" s="43" t="s">
        <v>104</v>
      </c>
      <c r="F26" s="44" t="str">
        <f>FIXED(G26)</f>
        <v>1,223,432.00</v>
      </c>
      <c r="G26" s="43">
        <v>1223432</v>
      </c>
      <c r="H26" s="44"/>
      <c r="I26" s="43"/>
    </row>
    <row r="27" spans="1:9" ht="30.75">
      <c r="A27" s="34">
        <f t="shared" si="0"/>
        <v>24</v>
      </c>
      <c r="B27" s="45" t="s">
        <v>105</v>
      </c>
      <c r="C27" s="46" t="s">
        <v>106</v>
      </c>
      <c r="D27" s="47" t="s">
        <v>107</v>
      </c>
      <c r="E27" s="46" t="s">
        <v>108</v>
      </c>
      <c r="F27" s="44" t="str">
        <f>REPT(G27,10)</f>
        <v>**********</v>
      </c>
      <c r="G27" s="43" t="s">
        <v>109</v>
      </c>
      <c r="H27" s="44"/>
      <c r="I27" s="43"/>
    </row>
    <row r="28" spans="1:9">
      <c r="A28" s="53">
        <f t="shared" si="0"/>
        <v>25</v>
      </c>
      <c r="B28" s="54" t="s">
        <v>110</v>
      </c>
      <c r="C28" s="55" t="s">
        <v>111</v>
      </c>
      <c r="D28" s="56" t="s">
        <v>112</v>
      </c>
      <c r="E28" s="55" t="s">
        <v>111</v>
      </c>
      <c r="F28" s="57" t="s">
        <v>113</v>
      </c>
      <c r="G28" s="43"/>
      <c r="H28" s="44"/>
      <c r="I28" s="43"/>
    </row>
    <row r="29" spans="1:9" ht="30.75">
      <c r="A29" s="53">
        <f t="shared" si="0"/>
        <v>26</v>
      </c>
      <c r="B29" s="54" t="s">
        <v>114</v>
      </c>
      <c r="C29" s="58" t="s">
        <v>115</v>
      </c>
      <c r="D29" s="35"/>
      <c r="E29" s="58" t="s">
        <v>115</v>
      </c>
      <c r="F29" s="57" t="s">
        <v>113</v>
      </c>
      <c r="G29" s="43"/>
      <c r="H29" s="44"/>
      <c r="I29" s="43"/>
    </row>
    <row r="30" spans="1:9">
      <c r="A30" s="34">
        <f t="shared" si="0"/>
        <v>27</v>
      </c>
      <c r="B30" s="34" t="s">
        <v>116</v>
      </c>
      <c r="C30" s="50" t="s">
        <v>117</v>
      </c>
      <c r="D30" s="47" t="s">
        <v>118</v>
      </c>
      <c r="E30" s="50" t="s">
        <v>117</v>
      </c>
      <c r="F30" s="44" t="b">
        <f>ISBLANK(G30)</f>
        <v>0</v>
      </c>
      <c r="G30" s="43">
        <v>12</v>
      </c>
      <c r="H30" s="44"/>
      <c r="I30" s="43"/>
    </row>
    <row r="31" spans="1:9">
      <c r="A31" s="34">
        <f t="shared" si="0"/>
        <v>28</v>
      </c>
      <c r="B31" s="45" t="s">
        <v>119</v>
      </c>
      <c r="C31" s="50" t="s">
        <v>120</v>
      </c>
      <c r="D31" s="47" t="s">
        <v>121</v>
      </c>
      <c r="E31" s="50" t="s">
        <v>120</v>
      </c>
      <c r="F31" s="59" t="b">
        <f>ISERR(G31)</f>
        <v>0</v>
      </c>
      <c r="G31" s="50" t="e">
        <v>#N/A</v>
      </c>
      <c r="H31" s="44"/>
      <c r="I31" s="43"/>
    </row>
    <row r="32" spans="1:9">
      <c r="A32" s="34">
        <f t="shared" si="0"/>
        <v>29</v>
      </c>
      <c r="B32" s="45" t="s">
        <v>122</v>
      </c>
      <c r="C32" s="50" t="s">
        <v>123</v>
      </c>
      <c r="D32" s="47" t="s">
        <v>124</v>
      </c>
      <c r="E32" s="50" t="s">
        <v>123</v>
      </c>
      <c r="F32" s="59" t="b">
        <f>ISERROR(G32)</f>
        <v>1</v>
      </c>
      <c r="G32" s="50" t="e">
        <v>#N/A</v>
      </c>
      <c r="H32" s="44"/>
      <c r="I32" s="43"/>
    </row>
    <row r="33" spans="1:9">
      <c r="A33" s="34">
        <f t="shared" si="0"/>
        <v>30</v>
      </c>
      <c r="B33" s="45" t="s">
        <v>125</v>
      </c>
      <c r="C33" s="50" t="s">
        <v>126</v>
      </c>
      <c r="D33" s="47" t="s">
        <v>127</v>
      </c>
      <c r="E33" s="50" t="s">
        <v>126</v>
      </c>
      <c r="F33" s="59" t="b">
        <f>ISEVEN(G33)</f>
        <v>0</v>
      </c>
      <c r="G33" s="50">
        <v>3</v>
      </c>
      <c r="H33" s="44"/>
      <c r="I33" s="43"/>
    </row>
    <row r="34" spans="1:9">
      <c r="A34" s="34">
        <f t="shared" si="0"/>
        <v>31</v>
      </c>
      <c r="B34" s="45" t="s">
        <v>128</v>
      </c>
      <c r="C34" s="50" t="s">
        <v>129</v>
      </c>
      <c r="D34" s="47" t="s">
        <v>130</v>
      </c>
      <c r="E34" s="50" t="s">
        <v>129</v>
      </c>
      <c r="F34" s="59" t="b">
        <f>_xlfn.ISFORMULA(G34)</f>
        <v>1</v>
      </c>
      <c r="G34" s="50">
        <f>LEN("Mohit")</f>
        <v>5</v>
      </c>
      <c r="H34" s="44"/>
      <c r="I34" s="43"/>
    </row>
    <row r="35" spans="1:9">
      <c r="A35" s="34">
        <f t="shared" si="0"/>
        <v>32</v>
      </c>
      <c r="B35" s="45" t="s">
        <v>131</v>
      </c>
      <c r="C35" s="50" t="s">
        <v>132</v>
      </c>
      <c r="D35" s="47" t="s">
        <v>133</v>
      </c>
      <c r="E35" s="50" t="s">
        <v>132</v>
      </c>
      <c r="F35" s="59" t="b">
        <f>ISLOGICAL(G35)</f>
        <v>0</v>
      </c>
      <c r="G35" s="50"/>
      <c r="H35" s="44"/>
      <c r="I35" s="43"/>
    </row>
    <row r="36" spans="1:9">
      <c r="A36" s="34">
        <f t="shared" si="0"/>
        <v>33</v>
      </c>
      <c r="B36" s="45" t="s">
        <v>134</v>
      </c>
      <c r="C36" s="50" t="s">
        <v>135</v>
      </c>
      <c r="D36" s="47" t="s">
        <v>136</v>
      </c>
      <c r="E36" s="50" t="s">
        <v>135</v>
      </c>
      <c r="F36" s="59" t="b">
        <f>ISNA(G36)</f>
        <v>1</v>
      </c>
      <c r="G36" s="50" t="e">
        <v>#N/A</v>
      </c>
      <c r="H36" s="44"/>
      <c r="I36" s="43"/>
    </row>
    <row r="37" spans="1:9">
      <c r="A37" s="34">
        <f t="shared" si="0"/>
        <v>34</v>
      </c>
      <c r="B37" s="45" t="s">
        <v>137</v>
      </c>
      <c r="C37" s="50" t="s">
        <v>138</v>
      </c>
      <c r="D37" s="47" t="s">
        <v>139</v>
      </c>
      <c r="E37" s="50" t="s">
        <v>138</v>
      </c>
      <c r="F37" s="59" t="b">
        <f>ISNONTEXT(G37)</f>
        <v>0</v>
      </c>
      <c r="G37" s="50" t="s">
        <v>140</v>
      </c>
      <c r="H37" s="44"/>
      <c r="I37" s="43"/>
    </row>
    <row r="38" spans="1:9">
      <c r="A38" s="34">
        <f t="shared" si="0"/>
        <v>35</v>
      </c>
      <c r="B38" s="45" t="s">
        <v>141</v>
      </c>
      <c r="C38" s="50" t="s">
        <v>142</v>
      </c>
      <c r="D38" s="47" t="s">
        <v>143</v>
      </c>
      <c r="E38" s="50" t="s">
        <v>142</v>
      </c>
      <c r="F38" s="59" t="b">
        <f>ISNUMBER(G38)</f>
        <v>1</v>
      </c>
      <c r="G38" s="50">
        <v>12</v>
      </c>
      <c r="H38" s="44"/>
      <c r="I38" s="43"/>
    </row>
    <row r="39" spans="1:9">
      <c r="A39" s="34">
        <f t="shared" si="0"/>
        <v>36</v>
      </c>
      <c r="B39" s="45" t="s">
        <v>144</v>
      </c>
      <c r="C39" s="50" t="s">
        <v>145</v>
      </c>
      <c r="D39" s="47" t="s">
        <v>146</v>
      </c>
      <c r="E39" s="50" t="s">
        <v>145</v>
      </c>
      <c r="F39" s="59" t="b">
        <f>ISODD(G39)</f>
        <v>1</v>
      </c>
      <c r="G39" s="50">
        <v>3</v>
      </c>
      <c r="H39" s="44"/>
      <c r="I39" s="43"/>
    </row>
    <row r="40" spans="1:9">
      <c r="A40" s="34">
        <f t="shared" si="0"/>
        <v>37</v>
      </c>
      <c r="B40" s="45" t="s">
        <v>147</v>
      </c>
      <c r="C40" s="50" t="s">
        <v>148</v>
      </c>
      <c r="D40" s="47" t="s">
        <v>149</v>
      </c>
      <c r="E40" s="50" t="s">
        <v>148</v>
      </c>
      <c r="F40" s="59" t="b">
        <f>ISTEXT(G40)</f>
        <v>1</v>
      </c>
      <c r="G40" s="50" t="s">
        <v>140</v>
      </c>
      <c r="H40" s="44"/>
      <c r="I40" s="43"/>
    </row>
    <row r="41" spans="1:9">
      <c r="A41" s="34">
        <f t="shared" si="0"/>
        <v>38</v>
      </c>
      <c r="B41" s="45" t="s">
        <v>150</v>
      </c>
      <c r="C41" s="50" t="s">
        <v>151</v>
      </c>
      <c r="D41" s="47" t="s">
        <v>152</v>
      </c>
      <c r="E41" s="50" t="s">
        <v>151</v>
      </c>
      <c r="F41" s="59" t="e">
        <f>NA()</f>
        <v>#N/A</v>
      </c>
      <c r="G41" s="50"/>
      <c r="H41" s="44"/>
      <c r="I41" s="43"/>
    </row>
    <row r="42" spans="1:9">
      <c r="A42" s="34">
        <f t="shared" si="0"/>
        <v>39</v>
      </c>
      <c r="B42" s="60" t="s">
        <v>153</v>
      </c>
      <c r="C42" s="61" t="s">
        <v>154</v>
      </c>
      <c r="D42" s="62" t="s">
        <v>155</v>
      </c>
      <c r="E42" s="61" t="s">
        <v>154</v>
      </c>
      <c r="F42" s="63">
        <f ca="1">_xlfn.SHEET()</f>
        <v>1</v>
      </c>
      <c r="G42" s="50"/>
      <c r="H42" s="44"/>
      <c r="I42" s="43"/>
    </row>
    <row r="43" spans="1:9">
      <c r="A43" s="34">
        <f t="shared" si="0"/>
        <v>40</v>
      </c>
      <c r="B43" s="45" t="s">
        <v>156</v>
      </c>
      <c r="C43" s="50" t="s">
        <v>157</v>
      </c>
      <c r="D43" s="47" t="s">
        <v>158</v>
      </c>
      <c r="E43" s="50" t="s">
        <v>157</v>
      </c>
      <c r="F43" s="59">
        <f>TYPE(G42)</f>
        <v>1</v>
      </c>
      <c r="G43" s="50"/>
      <c r="H43" s="44"/>
      <c r="I43" s="43"/>
    </row>
    <row r="44" spans="1:9" ht="30.75">
      <c r="A44" s="34">
        <f t="shared" si="0"/>
        <v>41</v>
      </c>
      <c r="B44" s="64" t="s">
        <v>159</v>
      </c>
      <c r="C44" s="65" t="s">
        <v>160</v>
      </c>
      <c r="D44" s="56" t="s">
        <v>161</v>
      </c>
      <c r="E44" s="65" t="s">
        <v>162</v>
      </c>
      <c r="F44" s="44">
        <f ca="1">RAND()</f>
        <v>0.38930615696354376</v>
      </c>
      <c r="G44" s="43"/>
      <c r="H44" s="44"/>
      <c r="I44" s="43"/>
    </row>
    <row r="45" spans="1:9" ht="45.75">
      <c r="A45" s="34">
        <f t="shared" si="0"/>
        <v>42</v>
      </c>
      <c r="B45" s="64" t="s">
        <v>163</v>
      </c>
      <c r="C45" s="65" t="s">
        <v>164</v>
      </c>
      <c r="D45" s="56" t="s">
        <v>165</v>
      </c>
      <c r="E45" s="65" t="s">
        <v>166</v>
      </c>
      <c r="F45" s="44">
        <f ca="1">RANDBETWEEN(1,99)</f>
        <v>79</v>
      </c>
      <c r="G45" s="43"/>
      <c r="H45" s="44"/>
      <c r="I45" s="43"/>
    </row>
    <row r="46" spans="1:9" ht="45.75">
      <c r="A46" s="34">
        <f t="shared" si="0"/>
        <v>43</v>
      </c>
      <c r="B46" s="64" t="s">
        <v>167</v>
      </c>
      <c r="C46" s="65" t="s">
        <v>168</v>
      </c>
      <c r="D46" s="56" t="s">
        <v>169</v>
      </c>
      <c r="E46" s="65" t="s">
        <v>170</v>
      </c>
      <c r="F46" s="44">
        <f>INT(G46)</f>
        <v>25</v>
      </c>
      <c r="G46" s="43">
        <v>25.8</v>
      </c>
      <c r="H46" s="44"/>
      <c r="I46" s="43"/>
    </row>
    <row r="47" spans="1:9" ht="30.75">
      <c r="A47" s="34">
        <f t="shared" si="0"/>
        <v>44</v>
      </c>
      <c r="B47" s="64" t="s">
        <v>171</v>
      </c>
      <c r="C47" s="65" t="s">
        <v>172</v>
      </c>
      <c r="D47" s="56" t="s">
        <v>173</v>
      </c>
      <c r="E47" s="65" t="s">
        <v>172</v>
      </c>
      <c r="F47" s="44">
        <f>MOD(25,5)</f>
        <v>0</v>
      </c>
      <c r="G47" s="43"/>
      <c r="H47" s="44"/>
      <c r="I47" s="43"/>
    </row>
    <row r="48" spans="1:9" ht="60.75">
      <c r="A48" s="34">
        <f t="shared" si="0"/>
        <v>45</v>
      </c>
      <c r="B48" s="64" t="s">
        <v>174</v>
      </c>
      <c r="C48" s="65" t="s">
        <v>175</v>
      </c>
      <c r="D48" s="66" t="s">
        <v>176</v>
      </c>
      <c r="E48" s="67" t="s">
        <v>177</v>
      </c>
      <c r="F48" s="44" t="str">
        <f>IF(G48&gt;50,"TRUE","FALSE")</f>
        <v>TRUE</v>
      </c>
      <c r="G48" s="43">
        <v>53</v>
      </c>
      <c r="H48" s="44"/>
      <c r="I48" s="43"/>
    </row>
    <row r="49" spans="1:9" ht="76.5">
      <c r="A49" s="34">
        <f t="shared" si="0"/>
        <v>46</v>
      </c>
      <c r="B49" s="64" t="s">
        <v>178</v>
      </c>
      <c r="C49" s="65" t="s">
        <v>179</v>
      </c>
      <c r="D49" s="68" t="s">
        <v>180</v>
      </c>
      <c r="E49" s="65" t="s">
        <v>181</v>
      </c>
      <c r="F49" s="59" t="b">
        <f>AND(G49&gt;100,"USA"=H49)</f>
        <v>1</v>
      </c>
      <c r="G49" s="50">
        <v>115</v>
      </c>
      <c r="H49" s="44" t="s">
        <v>182</v>
      </c>
      <c r="I49" s="43"/>
    </row>
    <row r="50" spans="1:9" ht="76.5">
      <c r="A50" s="34">
        <f t="shared" si="0"/>
        <v>47</v>
      </c>
      <c r="B50" s="69" t="s">
        <v>183</v>
      </c>
      <c r="C50" s="65" t="s">
        <v>184</v>
      </c>
      <c r="D50" s="68" t="s">
        <v>185</v>
      </c>
      <c r="E50" s="65" t="s">
        <v>186</v>
      </c>
      <c r="F50" s="59" t="b">
        <f>OR(G50&gt;100,"USA"=H50)</f>
        <v>1</v>
      </c>
      <c r="G50" s="50">
        <v>115</v>
      </c>
      <c r="H50" s="44" t="s">
        <v>187</v>
      </c>
      <c r="I50" s="43"/>
    </row>
    <row r="51" spans="1:9" ht="60.75">
      <c r="A51" s="34">
        <f t="shared" si="0"/>
        <v>48</v>
      </c>
      <c r="B51" s="64" t="s">
        <v>188</v>
      </c>
      <c r="C51" s="70" t="s">
        <v>189</v>
      </c>
      <c r="D51" s="68" t="s">
        <v>190</v>
      </c>
      <c r="E51" s="70" t="s">
        <v>191</v>
      </c>
      <c r="F51" s="59" t="str">
        <f>IFERROR(G51/H51,"ERROR")</f>
        <v>ERROR</v>
      </c>
      <c r="G51" s="50">
        <v>50</v>
      </c>
      <c r="H51" s="71">
        <v>0</v>
      </c>
      <c r="I51" s="43"/>
    </row>
    <row r="52" spans="1:9" ht="45.75">
      <c r="A52" s="34">
        <f t="shared" si="0"/>
        <v>49</v>
      </c>
      <c r="B52" s="72" t="s">
        <v>192</v>
      </c>
      <c r="C52" s="73" t="s">
        <v>193</v>
      </c>
      <c r="D52" s="74" t="s">
        <v>194</v>
      </c>
      <c r="E52" s="73" t="s">
        <v>195</v>
      </c>
      <c r="F52" s="59" t="str">
        <f>_xlfn.IFNA(G52/H52,"Error")</f>
        <v>Error</v>
      </c>
      <c r="G52" s="59">
        <v>50</v>
      </c>
      <c r="H52" s="44" t="e">
        <v>#N/A</v>
      </c>
      <c r="I52" s="43"/>
    </row>
    <row r="53" spans="1:9" ht="45.75">
      <c r="A53" s="34">
        <f t="shared" si="0"/>
        <v>50</v>
      </c>
      <c r="B53" s="72" t="s">
        <v>196</v>
      </c>
      <c r="C53" s="75" t="s">
        <v>197</v>
      </c>
      <c r="D53" s="68" t="s">
        <v>198</v>
      </c>
      <c r="E53" s="70" t="s">
        <v>199</v>
      </c>
      <c r="F53" s="76" t="str" cm="1">
        <f t="array" ref="F53">_xlfn.IFS(G53&lt;55,"Fail",G53&lt;65,"D",G53&lt;75,"C",G53&lt;85,"B",G53&lt;95,"A",G53&gt;=95,"A+")</f>
        <v>D</v>
      </c>
      <c r="G53" s="44">
        <v>58</v>
      </c>
      <c r="H53" s="77" t="s">
        <v>200</v>
      </c>
      <c r="I53" s="67"/>
    </row>
    <row r="54" spans="1:9" ht="76.5">
      <c r="A54" s="34">
        <f t="shared" si="0"/>
        <v>51</v>
      </c>
      <c r="B54" s="45" t="b">
        <v>1</v>
      </c>
      <c r="C54" s="65" t="s">
        <v>201</v>
      </c>
      <c r="D54" s="78" t="s">
        <v>202</v>
      </c>
      <c r="E54" s="79" t="s">
        <v>203</v>
      </c>
      <c r="F54" s="44" t="b">
        <f>TRUE()</f>
        <v>1</v>
      </c>
      <c r="G54" s="80"/>
      <c r="H54" s="59"/>
      <c r="I54" s="67"/>
    </row>
    <row r="55" spans="1:9" ht="76.5">
      <c r="A55" s="34">
        <f t="shared" si="0"/>
        <v>52</v>
      </c>
      <c r="B55" s="45" t="b">
        <v>0</v>
      </c>
      <c r="C55" s="65" t="s">
        <v>204</v>
      </c>
      <c r="D55" s="81" t="s">
        <v>205</v>
      </c>
      <c r="E55" s="79" t="s">
        <v>206</v>
      </c>
      <c r="F55" s="44" t="b">
        <f>FALSE()</f>
        <v>0</v>
      </c>
      <c r="G55" s="44"/>
      <c r="H55" s="59"/>
      <c r="I55" s="67"/>
    </row>
    <row r="56" spans="1:9" ht="60.75">
      <c r="A56" s="34">
        <f t="shared" si="0"/>
        <v>53</v>
      </c>
      <c r="B56" s="64" t="s">
        <v>207</v>
      </c>
      <c r="C56" s="65" t="s">
        <v>208</v>
      </c>
      <c r="D56" s="81" t="s">
        <v>209</v>
      </c>
      <c r="E56" s="43" t="s">
        <v>210</v>
      </c>
      <c r="F56" s="44" t="b">
        <f>NOT(G56&gt;100)</f>
        <v>1</v>
      </c>
      <c r="G56" s="44">
        <v>100</v>
      </c>
      <c r="H56" s="59"/>
      <c r="I56" s="67"/>
    </row>
    <row r="57" spans="1:9" ht="91.5">
      <c r="A57" s="34">
        <f t="shared" si="0"/>
        <v>54</v>
      </c>
      <c r="B57" s="72" t="s">
        <v>211</v>
      </c>
      <c r="C57" s="82" t="s">
        <v>212</v>
      </c>
      <c r="D57" s="83" t="s">
        <v>213</v>
      </c>
      <c r="E57" s="84" t="s">
        <v>214</v>
      </c>
      <c r="F57" s="71" t="b">
        <f>_xlfn.XOR(G57&gt;100,H57&gt;115)</f>
        <v>0</v>
      </c>
      <c r="G57" s="71">
        <v>110</v>
      </c>
      <c r="H57" s="59">
        <v>153</v>
      </c>
      <c r="I57" s="67"/>
    </row>
    <row r="58" spans="1:9" ht="45.75">
      <c r="A58" s="34">
        <f t="shared" si="0"/>
        <v>55</v>
      </c>
      <c r="B58" s="64" t="s">
        <v>215</v>
      </c>
      <c r="C58" s="85" t="s">
        <v>216</v>
      </c>
      <c r="D58" s="56" t="s">
        <v>217</v>
      </c>
      <c r="E58" s="67" t="s">
        <v>218</v>
      </c>
      <c r="F58" s="50">
        <f>COUNT(G58)</f>
        <v>1</v>
      </c>
      <c r="G58" s="50">
        <v>98000</v>
      </c>
      <c r="H58" s="86"/>
      <c r="I58" s="67"/>
    </row>
    <row r="59" spans="1:9">
      <c r="A59" s="34">
        <f t="shared" si="0"/>
        <v>56</v>
      </c>
      <c r="B59" s="64" t="s">
        <v>219</v>
      </c>
      <c r="C59" s="65" t="s">
        <v>220</v>
      </c>
      <c r="D59" s="78" t="s">
        <v>221</v>
      </c>
      <c r="E59" s="65" t="s">
        <v>222</v>
      </c>
      <c r="F59" s="42">
        <f>COUNTA(G59,H59)</f>
        <v>2</v>
      </c>
      <c r="G59" s="42" t="s">
        <v>223</v>
      </c>
      <c r="H59" s="44" t="s">
        <v>224</v>
      </c>
      <c r="I59" s="43"/>
    </row>
    <row r="60" spans="1:9" ht="45.75">
      <c r="A60" s="34">
        <f t="shared" si="0"/>
        <v>57</v>
      </c>
      <c r="B60" s="64" t="s">
        <v>225</v>
      </c>
      <c r="C60" s="65" t="s">
        <v>226</v>
      </c>
      <c r="D60" s="81" t="s">
        <v>227</v>
      </c>
      <c r="E60" s="65" t="s">
        <v>228</v>
      </c>
      <c r="F60" s="44">
        <f>COUNTBLANK(G60:H60)</f>
        <v>2</v>
      </c>
      <c r="G60" s="44"/>
      <c r="H60" s="44"/>
      <c r="I60" s="43"/>
    </row>
    <row r="61" spans="1:9" ht="121.5">
      <c r="A61" s="34">
        <f t="shared" si="0"/>
        <v>58</v>
      </c>
      <c r="B61" s="64" t="s">
        <v>229</v>
      </c>
      <c r="C61" s="87" t="s">
        <v>230</v>
      </c>
      <c r="D61" s="83" t="s">
        <v>231</v>
      </c>
      <c r="E61" s="82" t="s">
        <v>232</v>
      </c>
      <c r="F61" s="44">
        <f>COUNTIF(G61:H61,"&gt;50")</f>
        <v>1</v>
      </c>
      <c r="G61" s="44">
        <v>100</v>
      </c>
      <c r="H61" s="44">
        <v>49</v>
      </c>
      <c r="I61" s="43"/>
    </row>
    <row r="62" spans="1:9" ht="106.5">
      <c r="A62" s="34">
        <f t="shared" si="0"/>
        <v>59</v>
      </c>
      <c r="B62" s="72" t="s">
        <v>233</v>
      </c>
      <c r="C62" s="88" t="s">
        <v>234</v>
      </c>
      <c r="D62" s="89" t="s">
        <v>235</v>
      </c>
      <c r="E62" s="65" t="s">
        <v>236</v>
      </c>
      <c r="F62" s="76">
        <f>COUNTIFS(G62,"&gt;50",H62,"&lt;50")</f>
        <v>0</v>
      </c>
      <c r="G62" s="44">
        <v>900</v>
      </c>
      <c r="H62" s="44">
        <v>100</v>
      </c>
      <c r="I62" s="43"/>
    </row>
    <row r="63" spans="1:9" ht="60.75">
      <c r="A63" s="34">
        <f t="shared" si="0"/>
        <v>60</v>
      </c>
      <c r="B63" s="64" t="s">
        <v>237</v>
      </c>
      <c r="C63" s="85" t="s">
        <v>238</v>
      </c>
      <c r="D63" s="68" t="s">
        <v>239</v>
      </c>
      <c r="E63" s="43" t="s">
        <v>240</v>
      </c>
      <c r="F63" s="76">
        <f>AVERAGE(G63:H63)</f>
        <v>908</v>
      </c>
      <c r="G63" s="44">
        <v>583</v>
      </c>
      <c r="H63" s="44">
        <v>1233</v>
      </c>
      <c r="I63" s="43"/>
    </row>
    <row r="64" spans="1:9" ht="76.5">
      <c r="A64" s="34">
        <f t="shared" si="0"/>
        <v>61</v>
      </c>
      <c r="B64" s="64" t="s">
        <v>241</v>
      </c>
      <c r="C64" s="90" t="s">
        <v>242</v>
      </c>
      <c r="D64" s="91" t="s">
        <v>243</v>
      </c>
      <c r="E64" s="43" t="s">
        <v>240</v>
      </c>
      <c r="F64" s="71">
        <f>AVERAGEA(G64,H64)</f>
        <v>289.5</v>
      </c>
      <c r="G64" s="44">
        <v>578</v>
      </c>
      <c r="H64" s="44" t="b">
        <v>1</v>
      </c>
      <c r="I64" s="43"/>
    </row>
    <row r="65" spans="1:9" ht="91.5">
      <c r="A65" s="34">
        <f t="shared" si="0"/>
        <v>62</v>
      </c>
      <c r="B65" s="64" t="s">
        <v>244</v>
      </c>
      <c r="C65" s="85" t="s">
        <v>245</v>
      </c>
      <c r="D65" s="92" t="s">
        <v>246</v>
      </c>
      <c r="E65" s="43" t="s">
        <v>247</v>
      </c>
      <c r="F65" s="43">
        <f>AVERAGEIF(G65:H65,"&gt;50")</f>
        <v>908</v>
      </c>
      <c r="G65" s="76">
        <v>583</v>
      </c>
      <c r="H65" s="44">
        <v>1233</v>
      </c>
      <c r="I65" s="43"/>
    </row>
    <row r="66" spans="1:9" ht="91.5">
      <c r="A66" s="34">
        <f t="shared" si="0"/>
        <v>63</v>
      </c>
      <c r="B66" s="64" t="s">
        <v>248</v>
      </c>
      <c r="C66" s="88" t="s">
        <v>249</v>
      </c>
      <c r="D66" s="92" t="s">
        <v>250</v>
      </c>
      <c r="E66" s="93" t="s">
        <v>247</v>
      </c>
      <c r="F66" s="51">
        <f>AVERAGEIFS(G66:H66,G66:H66,"&gt;50")</f>
        <v>908</v>
      </c>
      <c r="G66" s="76">
        <v>583</v>
      </c>
      <c r="H66" s="44">
        <v>1233</v>
      </c>
      <c r="I66" s="43"/>
    </row>
    <row r="67" spans="1:9" ht="76.5">
      <c r="A67" s="34">
        <f t="shared" si="0"/>
        <v>64</v>
      </c>
      <c r="B67" s="94" t="s">
        <v>251</v>
      </c>
      <c r="C67" s="65" t="s">
        <v>252</v>
      </c>
      <c r="D67" s="92" t="s">
        <v>253</v>
      </c>
      <c r="E67" s="95" t="s">
        <v>254</v>
      </c>
      <c r="F67" s="96">
        <f>SMALL(G67:H67,1)</f>
        <v>24</v>
      </c>
      <c r="G67" s="96">
        <v>24</v>
      </c>
      <c r="H67" s="42">
        <v>33</v>
      </c>
      <c r="I67" s="43"/>
    </row>
    <row r="68" spans="1:9" ht="76.5">
      <c r="A68" s="34">
        <f t="shared" si="0"/>
        <v>65</v>
      </c>
      <c r="B68" s="97" t="s">
        <v>255</v>
      </c>
      <c r="C68" s="85" t="s">
        <v>256</v>
      </c>
      <c r="D68" s="66" t="s">
        <v>257</v>
      </c>
      <c r="E68" s="95" t="s">
        <v>258</v>
      </c>
      <c r="F68" s="98">
        <f>LARGE(G68:H68,1)</f>
        <v>33</v>
      </c>
      <c r="G68" s="96">
        <v>24</v>
      </c>
      <c r="H68" s="42">
        <v>33</v>
      </c>
      <c r="I68" s="43"/>
    </row>
    <row r="69" spans="1:9" ht="60.75">
      <c r="A69" s="34">
        <f t="shared" si="0"/>
        <v>66</v>
      </c>
      <c r="B69" s="64" t="s">
        <v>259</v>
      </c>
      <c r="C69" s="99" t="s">
        <v>260</v>
      </c>
      <c r="D69" s="66" t="s">
        <v>261</v>
      </c>
      <c r="E69" s="95" t="s">
        <v>262</v>
      </c>
      <c r="F69" s="96">
        <f>MAX(G69,H69)</f>
        <v>33</v>
      </c>
      <c r="G69" s="96">
        <v>24</v>
      </c>
      <c r="H69" s="42">
        <v>33</v>
      </c>
      <c r="I69" s="43"/>
    </row>
    <row r="70" spans="1:9" ht="76.5">
      <c r="A70" s="34">
        <f t="shared" ref="A70:A110" si="1">A69+1</f>
        <v>67</v>
      </c>
      <c r="B70" s="64" t="s">
        <v>263</v>
      </c>
      <c r="C70" s="85" t="s">
        <v>264</v>
      </c>
      <c r="D70" s="66" t="s">
        <v>265</v>
      </c>
      <c r="E70" s="95" t="s">
        <v>262</v>
      </c>
      <c r="F70" s="96">
        <f>MAXA(G70,H70)</f>
        <v>1</v>
      </c>
      <c r="G70" s="96">
        <v>0</v>
      </c>
      <c r="H70" s="44" t="b">
        <v>1</v>
      </c>
      <c r="I70" s="43"/>
    </row>
    <row r="71" spans="1:9" ht="121.5">
      <c r="A71" s="34">
        <f t="shared" si="1"/>
        <v>68</v>
      </c>
      <c r="B71" s="64" t="s">
        <v>266</v>
      </c>
      <c r="C71" s="85" t="s">
        <v>267</v>
      </c>
      <c r="D71" s="92" t="s">
        <v>268</v>
      </c>
      <c r="E71" s="95" t="s">
        <v>269</v>
      </c>
      <c r="F71" s="96">
        <f>_xlfn.MAXIFS(G71:H71,G71:H71,"&gt;50")</f>
        <v>0</v>
      </c>
      <c r="G71" s="96">
        <v>11</v>
      </c>
      <c r="H71" s="44">
        <v>12</v>
      </c>
      <c r="I71" s="43"/>
    </row>
    <row r="72" spans="1:9" ht="60.75">
      <c r="A72" s="34">
        <f t="shared" si="1"/>
        <v>69</v>
      </c>
      <c r="B72" s="64" t="s">
        <v>270</v>
      </c>
      <c r="C72" s="85" t="s">
        <v>271</v>
      </c>
      <c r="D72" s="66" t="s">
        <v>272</v>
      </c>
      <c r="E72" s="95" t="s">
        <v>273</v>
      </c>
      <c r="F72" s="96">
        <f>MIN(G72,H72)</f>
        <v>24</v>
      </c>
      <c r="G72" s="96">
        <v>24</v>
      </c>
      <c r="H72" s="42">
        <v>33</v>
      </c>
      <c r="I72" s="43"/>
    </row>
    <row r="73" spans="1:9" ht="76.5">
      <c r="A73" s="34">
        <f t="shared" si="1"/>
        <v>70</v>
      </c>
      <c r="B73" s="64" t="s">
        <v>274</v>
      </c>
      <c r="C73" s="85" t="s">
        <v>275</v>
      </c>
      <c r="D73" s="92" t="s">
        <v>276</v>
      </c>
      <c r="E73" s="95" t="s">
        <v>273</v>
      </c>
      <c r="F73" s="96">
        <f>MINA(G73,H73)</f>
        <v>0</v>
      </c>
      <c r="G73" s="96">
        <v>0</v>
      </c>
      <c r="H73" s="44" t="b">
        <v>1</v>
      </c>
      <c r="I73" s="43"/>
    </row>
    <row r="74" spans="1:9" ht="117.75" customHeight="1">
      <c r="A74" s="34">
        <f t="shared" si="1"/>
        <v>71</v>
      </c>
      <c r="B74" s="72" t="s">
        <v>277</v>
      </c>
      <c r="C74" s="88" t="s">
        <v>278</v>
      </c>
      <c r="D74" s="92" t="s">
        <v>279</v>
      </c>
      <c r="E74" s="95" t="s">
        <v>280</v>
      </c>
      <c r="F74" s="98">
        <f>_xlfn.MINIFS(G74:H74,G74:H74,"&gt;=50")</f>
        <v>50</v>
      </c>
      <c r="G74" s="98">
        <v>50</v>
      </c>
      <c r="H74" s="71">
        <v>160</v>
      </c>
      <c r="I74" s="43"/>
    </row>
    <row r="75" spans="1:9" ht="91.5">
      <c r="A75" s="34">
        <f t="shared" si="1"/>
        <v>72</v>
      </c>
      <c r="B75" s="97" t="s">
        <v>281</v>
      </c>
      <c r="C75" s="82" t="s">
        <v>282</v>
      </c>
      <c r="D75" s="74" t="s">
        <v>283</v>
      </c>
      <c r="E75" s="100" t="s">
        <v>284</v>
      </c>
      <c r="F75" s="43">
        <f>_xlfn.RANK.AVG(G75,G75:H75)</f>
        <v>1</v>
      </c>
      <c r="G75" s="43">
        <v>98</v>
      </c>
      <c r="H75" s="44">
        <v>75</v>
      </c>
      <c r="I75" s="43"/>
    </row>
    <row r="76" spans="1:9" ht="76.5">
      <c r="A76" s="34">
        <f t="shared" si="1"/>
        <v>73</v>
      </c>
      <c r="B76" s="97" t="s">
        <v>285</v>
      </c>
      <c r="C76" s="101" t="s">
        <v>286</v>
      </c>
      <c r="D76" s="68" t="s">
        <v>287</v>
      </c>
      <c r="E76" s="65" t="s">
        <v>288</v>
      </c>
      <c r="F76" s="96">
        <f>_xlfn.RANK.EQ(G76,G76:H76,0)</f>
        <v>1</v>
      </c>
      <c r="G76" s="43">
        <v>89</v>
      </c>
      <c r="H76" s="44">
        <v>89</v>
      </c>
      <c r="I76" s="43"/>
    </row>
    <row r="77" spans="1:9" ht="45.75">
      <c r="A77" s="34">
        <f t="shared" si="1"/>
        <v>74</v>
      </c>
      <c r="B77" s="64" t="s">
        <v>289</v>
      </c>
      <c r="C77" s="65" t="s">
        <v>290</v>
      </c>
      <c r="D77" s="78" t="s">
        <v>291</v>
      </c>
      <c r="E77" s="99" t="s">
        <v>292</v>
      </c>
      <c r="F77" s="43">
        <f>MEDIAN(G77,H77)</f>
        <v>92.5</v>
      </c>
      <c r="G77" s="43">
        <v>89</v>
      </c>
      <c r="H77" s="44">
        <v>96</v>
      </c>
      <c r="I77" s="43"/>
    </row>
    <row r="78" spans="1:9" ht="45.75">
      <c r="A78" s="34">
        <f t="shared" si="1"/>
        <v>75</v>
      </c>
      <c r="B78" s="64" t="s">
        <v>293</v>
      </c>
      <c r="C78" s="65" t="s">
        <v>294</v>
      </c>
      <c r="D78" s="81" t="s">
        <v>295</v>
      </c>
      <c r="E78" s="85" t="s">
        <v>296</v>
      </c>
      <c r="F78" s="43">
        <f>MODE(G78:H78)</f>
        <v>99</v>
      </c>
      <c r="G78" s="43">
        <v>99</v>
      </c>
      <c r="H78" s="44">
        <v>99</v>
      </c>
      <c r="I78" s="43"/>
    </row>
    <row r="79" spans="1:9" ht="45.75">
      <c r="A79" s="34">
        <f t="shared" si="1"/>
        <v>76</v>
      </c>
      <c r="B79" s="64" t="s">
        <v>297</v>
      </c>
      <c r="C79" s="65" t="s">
        <v>298</v>
      </c>
      <c r="D79" s="81" t="s">
        <v>299</v>
      </c>
      <c r="E79" s="102" t="s">
        <v>300</v>
      </c>
      <c r="F79" s="43">
        <f>_xlfn.PERCENTILE.INC(G79:H79,0.5)</f>
        <v>45</v>
      </c>
      <c r="G79" s="43">
        <v>77</v>
      </c>
      <c r="H79" s="44">
        <v>13</v>
      </c>
      <c r="I79" s="43"/>
    </row>
    <row r="80" spans="1:9" ht="121.5">
      <c r="A80" s="34">
        <f t="shared" si="1"/>
        <v>77</v>
      </c>
      <c r="B80" s="64" t="s">
        <v>301</v>
      </c>
      <c r="C80" s="65" t="s">
        <v>302</v>
      </c>
      <c r="D80" s="81" t="s">
        <v>303</v>
      </c>
      <c r="E80" s="102" t="s">
        <v>304</v>
      </c>
      <c r="F80" s="43">
        <f>_xlfn.PERCENTILE.EXC(G80:H80,0.5)</f>
        <v>45</v>
      </c>
      <c r="G80" s="43">
        <v>77</v>
      </c>
      <c r="H80" s="44">
        <v>13</v>
      </c>
      <c r="I80" s="43"/>
    </row>
    <row r="81" spans="1:9" ht="58.5" customHeight="1">
      <c r="A81" s="34">
        <f t="shared" si="1"/>
        <v>78</v>
      </c>
      <c r="B81" s="64" t="s">
        <v>305</v>
      </c>
      <c r="C81" s="65" t="s">
        <v>306</v>
      </c>
      <c r="D81" s="81" t="s">
        <v>307</v>
      </c>
      <c r="E81" s="102" t="s">
        <v>308</v>
      </c>
      <c r="F81" s="43">
        <f>_xlfn.QUARTILE.INC(G81:H81,1)</f>
        <v>29</v>
      </c>
      <c r="G81" s="43">
        <v>77</v>
      </c>
      <c r="H81" s="44">
        <v>13</v>
      </c>
      <c r="I81" s="43"/>
    </row>
    <row r="82" spans="1:9" ht="30.75">
      <c r="A82" s="34">
        <f t="shared" si="1"/>
        <v>79</v>
      </c>
      <c r="B82" s="64" t="s">
        <v>309</v>
      </c>
      <c r="C82" s="65" t="s">
        <v>310</v>
      </c>
      <c r="D82" s="81" t="s">
        <v>311</v>
      </c>
      <c r="E82" s="103" t="s">
        <v>312</v>
      </c>
      <c r="F82" s="93">
        <f>_xlfn.QUARTILE.EXC(G82:H82,2)</f>
        <v>45</v>
      </c>
      <c r="G82" s="43">
        <v>77</v>
      </c>
      <c r="H82" s="44">
        <v>13</v>
      </c>
      <c r="I82" s="43"/>
    </row>
    <row r="83" spans="1:9" ht="30.75">
      <c r="A83" s="34">
        <f t="shared" si="1"/>
        <v>80</v>
      </c>
      <c r="B83" s="64" t="s">
        <v>313</v>
      </c>
      <c r="C83" s="65" t="s">
        <v>314</v>
      </c>
      <c r="D83" s="78" t="s">
        <v>315</v>
      </c>
      <c r="E83" s="104" t="s">
        <v>316</v>
      </c>
      <c r="F83" s="43">
        <f>_xlfn.VAR.P(G83,H83)</f>
        <v>1024</v>
      </c>
      <c r="G83" s="96">
        <v>77</v>
      </c>
      <c r="H83" s="44">
        <v>13</v>
      </c>
      <c r="I83" s="43"/>
    </row>
    <row r="84" spans="1:9" ht="30.75">
      <c r="A84" s="34">
        <f t="shared" si="1"/>
        <v>81</v>
      </c>
      <c r="B84" s="72" t="s">
        <v>317</v>
      </c>
      <c r="C84" s="82" t="s">
        <v>318</v>
      </c>
      <c r="D84" s="105" t="s">
        <v>319</v>
      </c>
      <c r="E84" s="95" t="s">
        <v>320</v>
      </c>
      <c r="F84" s="106">
        <f>_xlfn.VAR.S(G84,H84)</f>
        <v>2048</v>
      </c>
      <c r="G84" s="43">
        <v>77</v>
      </c>
      <c r="H84" s="44">
        <v>13</v>
      </c>
      <c r="I84" s="43"/>
    </row>
    <row r="85" spans="1:9" ht="45.75">
      <c r="A85" s="34">
        <f t="shared" si="1"/>
        <v>82</v>
      </c>
      <c r="B85" s="72" t="s">
        <v>321</v>
      </c>
      <c r="C85" s="82" t="s">
        <v>322</v>
      </c>
      <c r="D85" s="74" t="s">
        <v>323</v>
      </c>
      <c r="E85" s="82" t="s">
        <v>324</v>
      </c>
      <c r="F85" s="107">
        <f>DATE(G85,H85,I85)</f>
        <v>46019</v>
      </c>
      <c r="G85" s="93">
        <v>2025</v>
      </c>
      <c r="H85" s="71">
        <v>12</v>
      </c>
      <c r="I85" s="43">
        <v>28</v>
      </c>
    </row>
    <row r="86" spans="1:9" ht="45.75">
      <c r="A86" s="34">
        <f t="shared" si="1"/>
        <v>83</v>
      </c>
      <c r="B86" s="72" t="s">
        <v>325</v>
      </c>
      <c r="C86" s="82" t="s">
        <v>326</v>
      </c>
      <c r="D86" s="108" t="s">
        <v>327</v>
      </c>
      <c r="E86" s="65" t="s">
        <v>328</v>
      </c>
      <c r="F86" s="52"/>
      <c r="G86" s="109"/>
      <c r="H86" s="44"/>
      <c r="I86" s="43"/>
    </row>
    <row r="87" spans="1:9" ht="45.75">
      <c r="A87" s="34">
        <f t="shared" si="1"/>
        <v>84</v>
      </c>
      <c r="B87" s="72" t="s">
        <v>329</v>
      </c>
      <c r="C87" s="82" t="s">
        <v>330</v>
      </c>
      <c r="D87" s="74" t="s">
        <v>331</v>
      </c>
      <c r="E87" s="110" t="s">
        <v>332</v>
      </c>
      <c r="F87" s="111">
        <f>DAY(G87)</f>
        <v>12</v>
      </c>
      <c r="G87" s="109">
        <v>34711</v>
      </c>
      <c r="H87" s="43"/>
      <c r="I87" s="43"/>
    </row>
    <row r="88" spans="1:9" ht="30.75">
      <c r="A88" s="34">
        <f t="shared" si="1"/>
        <v>85</v>
      </c>
      <c r="B88" s="64" t="s">
        <v>333</v>
      </c>
      <c r="C88" s="65" t="s">
        <v>334</v>
      </c>
      <c r="D88" s="68" t="s">
        <v>335</v>
      </c>
      <c r="E88" s="110" t="s">
        <v>336</v>
      </c>
      <c r="F88" s="43">
        <f>_xlfn.DAYS(G88,H88)</f>
        <v>234</v>
      </c>
      <c r="G88" s="112">
        <v>44538</v>
      </c>
      <c r="H88" s="112">
        <v>44304</v>
      </c>
      <c r="I88" s="43"/>
    </row>
    <row r="89" spans="1:9" ht="60.75">
      <c r="A89" s="34">
        <f t="shared" si="1"/>
        <v>86</v>
      </c>
      <c r="B89" s="72" t="s">
        <v>337</v>
      </c>
      <c r="C89" s="82" t="s">
        <v>338</v>
      </c>
      <c r="D89" s="92" t="s">
        <v>339</v>
      </c>
      <c r="E89" s="110" t="s">
        <v>340</v>
      </c>
      <c r="F89" s="43">
        <f>DAYS360(H89,G89)</f>
        <v>230</v>
      </c>
      <c r="G89" s="112">
        <v>44538</v>
      </c>
      <c r="H89" s="112">
        <v>44304</v>
      </c>
      <c r="I89" s="43"/>
    </row>
    <row r="90" spans="1:9" ht="28.5" customHeight="1">
      <c r="A90" s="34">
        <f t="shared" si="1"/>
        <v>87</v>
      </c>
      <c r="B90" s="113" t="s">
        <v>341</v>
      </c>
      <c r="C90" s="114" t="s">
        <v>342</v>
      </c>
      <c r="D90" s="115" t="s">
        <v>343</v>
      </c>
      <c r="E90" s="110" t="s">
        <v>344</v>
      </c>
      <c r="F90" s="43">
        <f>MONTH(G90)</f>
        <v>1</v>
      </c>
      <c r="G90" s="109">
        <v>34711</v>
      </c>
      <c r="H90" s="43"/>
      <c r="I90" s="43"/>
    </row>
    <row r="91" spans="1:9" ht="30" customHeight="1">
      <c r="A91" s="34">
        <f t="shared" si="1"/>
        <v>88</v>
      </c>
      <c r="B91" s="113" t="s">
        <v>345</v>
      </c>
      <c r="C91" s="114" t="s">
        <v>346</v>
      </c>
      <c r="D91" s="115" t="s">
        <v>347</v>
      </c>
      <c r="E91" s="116" t="s">
        <v>348</v>
      </c>
      <c r="F91" s="43">
        <f>YEAR(G91)</f>
        <v>1995</v>
      </c>
      <c r="G91" s="109">
        <v>34711</v>
      </c>
      <c r="H91" s="43"/>
      <c r="I91" s="43"/>
    </row>
    <row r="92" spans="1:9" ht="43.5">
      <c r="A92" s="34">
        <f t="shared" si="1"/>
        <v>89</v>
      </c>
      <c r="B92" s="113" t="s">
        <v>349</v>
      </c>
      <c r="C92" s="114" t="s">
        <v>350</v>
      </c>
      <c r="D92" s="115" t="s">
        <v>351</v>
      </c>
      <c r="E92" s="114" t="s">
        <v>352</v>
      </c>
      <c r="F92" s="96" t="str">
        <f>TEXT(EDATE(G92,1),"mm/dd/yyyy")</f>
        <v>02/12/1995</v>
      </c>
      <c r="G92" s="117">
        <v>34711</v>
      </c>
      <c r="H92" s="43"/>
      <c r="I92" s="43"/>
    </row>
    <row r="93" spans="1:9" ht="43.5">
      <c r="A93" s="34">
        <f t="shared" si="1"/>
        <v>90</v>
      </c>
      <c r="B93" s="113" t="s">
        <v>353</v>
      </c>
      <c r="C93" s="114" t="s">
        <v>354</v>
      </c>
      <c r="D93" s="115" t="s">
        <v>355</v>
      </c>
      <c r="E93" s="118" t="s">
        <v>356</v>
      </c>
      <c r="F93" s="96" t="str">
        <f>TEXT(EOMONTH(G93,1),"mm/dd/yyyy")</f>
        <v>02/28/1995</v>
      </c>
      <c r="G93" s="117">
        <v>34711</v>
      </c>
      <c r="H93" s="43"/>
      <c r="I93" s="43"/>
    </row>
    <row r="94" spans="1:9" ht="43.5">
      <c r="A94" s="34">
        <f t="shared" si="1"/>
        <v>91</v>
      </c>
      <c r="B94" s="119" t="s">
        <v>357</v>
      </c>
      <c r="C94" s="118" t="s">
        <v>358</v>
      </c>
      <c r="D94" s="120" t="s">
        <v>359</v>
      </c>
      <c r="E94" s="106" t="s">
        <v>360</v>
      </c>
      <c r="F94" s="52">
        <f ca="1">TODAY()</f>
        <v>45933</v>
      </c>
      <c r="G94" s="43"/>
      <c r="H94" s="43"/>
      <c r="I94" s="43"/>
    </row>
    <row r="95" spans="1:9" ht="43.5">
      <c r="A95" s="34">
        <f t="shared" si="1"/>
        <v>92</v>
      </c>
      <c r="B95" s="113" t="s">
        <v>361</v>
      </c>
      <c r="C95" s="114" t="s">
        <v>362</v>
      </c>
      <c r="D95" s="121" t="s">
        <v>363</v>
      </c>
      <c r="E95" s="98" t="s">
        <v>364</v>
      </c>
      <c r="F95" s="122">
        <f ca="1">NOW()</f>
        <v>45933.801265046299</v>
      </c>
      <c r="G95" s="43"/>
      <c r="H95" s="43"/>
      <c r="I95" s="43"/>
    </row>
    <row r="96" spans="1:9" ht="43.5">
      <c r="A96" s="34">
        <f t="shared" si="1"/>
        <v>93</v>
      </c>
      <c r="B96" s="113" t="s">
        <v>365</v>
      </c>
      <c r="C96" s="114" t="s">
        <v>366</v>
      </c>
      <c r="D96" s="115" t="s">
        <v>367</v>
      </c>
      <c r="E96" s="43" t="s">
        <v>368</v>
      </c>
      <c r="F96" s="96">
        <f>WEEKDAY(G96,1)</f>
        <v>5</v>
      </c>
      <c r="G96" s="109">
        <v>34711</v>
      </c>
      <c r="H96" s="43"/>
      <c r="I96" s="43"/>
    </row>
    <row r="97" spans="1:9" ht="43.5">
      <c r="A97" s="34">
        <f t="shared" si="1"/>
        <v>94</v>
      </c>
      <c r="B97" s="113" t="s">
        <v>369</v>
      </c>
      <c r="C97" s="114" t="s">
        <v>370</v>
      </c>
      <c r="D97" s="123" t="s">
        <v>371</v>
      </c>
      <c r="E97" s="98" t="s">
        <v>372</v>
      </c>
      <c r="F97" s="43">
        <f>NETWORKDAYS(H97,G97)</f>
        <v>168</v>
      </c>
      <c r="G97" s="112">
        <v>44538</v>
      </c>
      <c r="H97" s="112">
        <v>44304</v>
      </c>
      <c r="I97" s="43"/>
    </row>
    <row r="98" spans="1:9" ht="43.5">
      <c r="A98" s="34">
        <f t="shared" si="1"/>
        <v>95</v>
      </c>
      <c r="B98" s="113" t="s">
        <v>373</v>
      </c>
      <c r="C98" s="114" t="s">
        <v>374</v>
      </c>
      <c r="D98" s="115" t="s">
        <v>375</v>
      </c>
      <c r="E98" s="43" t="s">
        <v>376</v>
      </c>
      <c r="F98" s="96" t="str">
        <f>TEXT(WORKDAY(G98,3),"mm/dd/yyyy")</f>
        <v>01/17/1995</v>
      </c>
      <c r="G98" s="117">
        <v>34711</v>
      </c>
      <c r="H98" s="43"/>
      <c r="I98" s="43"/>
    </row>
    <row r="99" spans="1:9" ht="43.5">
      <c r="A99" s="34">
        <f t="shared" si="1"/>
        <v>96</v>
      </c>
      <c r="B99" s="127" t="s">
        <v>377</v>
      </c>
      <c r="C99" s="128" t="s">
        <v>378</v>
      </c>
      <c r="D99" s="115" t="s">
        <v>379</v>
      </c>
      <c r="E99" s="25" t="s">
        <v>380</v>
      </c>
      <c r="F99" s="43">
        <f>DATEDIF(H99,G99,"y")</f>
        <v>24</v>
      </c>
      <c r="G99" s="26">
        <v>45555</v>
      </c>
      <c r="H99" s="26">
        <v>36571</v>
      </c>
      <c r="I99" s="43"/>
    </row>
    <row r="100" spans="1:9" ht="57.75">
      <c r="A100" s="36">
        <f t="shared" si="1"/>
        <v>97</v>
      </c>
      <c r="B100" s="113" t="s">
        <v>381</v>
      </c>
      <c r="C100" s="114" t="s">
        <v>382</v>
      </c>
      <c r="D100" s="123" t="s">
        <v>383</v>
      </c>
      <c r="E100" s="43" t="s">
        <v>384</v>
      </c>
      <c r="F100" s="96" t="str">
        <f>ADDRESS(G100,H100,1,0)</f>
        <v>R54C78</v>
      </c>
      <c r="G100" s="124">
        <v>54</v>
      </c>
      <c r="H100" s="124">
        <v>78</v>
      </c>
      <c r="I100" s="43"/>
    </row>
    <row r="101" spans="1:9" ht="30.75">
      <c r="A101" s="130">
        <f t="shared" si="1"/>
        <v>98</v>
      </c>
      <c r="B101" s="113" t="s">
        <v>385</v>
      </c>
      <c r="C101" s="22" t="s">
        <v>386</v>
      </c>
      <c r="D101" s="24" t="s">
        <v>387</v>
      </c>
      <c r="E101" s="106" t="s">
        <v>388</v>
      </c>
      <c r="F101" s="43">
        <f>ROW(G101)</f>
        <v>101</v>
      </c>
      <c r="G101" s="43"/>
      <c r="H101" s="43"/>
      <c r="I101" s="43"/>
    </row>
    <row r="102" spans="1:9" ht="30.75">
      <c r="A102" s="130">
        <f t="shared" si="1"/>
        <v>99</v>
      </c>
      <c r="B102" s="119" t="s">
        <v>389</v>
      </c>
      <c r="C102" s="16" t="s">
        <v>390</v>
      </c>
      <c r="D102" s="23" t="s">
        <v>391</v>
      </c>
      <c r="E102" s="132" t="s">
        <v>392</v>
      </c>
      <c r="F102" s="93">
        <f>COLUMN(G102)</f>
        <v>7</v>
      </c>
      <c r="G102" s="93"/>
      <c r="H102" s="93"/>
      <c r="I102" s="93"/>
    </row>
    <row r="103" spans="1:9" ht="29.25">
      <c r="A103" s="36">
        <f t="shared" si="1"/>
        <v>100</v>
      </c>
      <c r="B103" s="113" t="s">
        <v>393</v>
      </c>
      <c r="C103" s="22" t="s">
        <v>394</v>
      </c>
      <c r="D103" s="115" t="s">
        <v>395</v>
      </c>
      <c r="E103" s="133" t="s">
        <v>396</v>
      </c>
      <c r="F103" s="93" t="str">
        <f ca="1">_xlfn.FORMULATEXT(G103)</f>
        <v>=ROW()</v>
      </c>
      <c r="G103" s="93">
        <f>ROW()</f>
        <v>103</v>
      </c>
      <c r="H103" s="43"/>
      <c r="I103" s="43"/>
    </row>
    <row r="104" spans="1:9" ht="87">
      <c r="A104" s="130">
        <f t="shared" si="1"/>
        <v>101</v>
      </c>
      <c r="B104" s="113" t="s">
        <v>397</v>
      </c>
      <c r="C104" s="22" t="s">
        <v>398</v>
      </c>
      <c r="D104" s="123" t="s">
        <v>399</v>
      </c>
      <c r="E104" s="134"/>
      <c r="F104" s="118"/>
      <c r="G104" s="118"/>
      <c r="H104" s="96"/>
      <c r="I104" s="43"/>
    </row>
    <row r="105" spans="1:9" ht="57.75">
      <c r="A105" s="34">
        <f t="shared" si="1"/>
        <v>102</v>
      </c>
      <c r="B105" s="119" t="s">
        <v>400</v>
      </c>
      <c r="C105" s="138" t="s">
        <v>401</v>
      </c>
      <c r="D105" s="136" t="s">
        <v>402</v>
      </c>
      <c r="E105" s="137" t="s">
        <v>403</v>
      </c>
      <c r="F105" s="118" t="str" cm="1">
        <f t="array" aca="1" ref="F105" ca="1">INDIRECT(G105,FALSE)</f>
        <v>R105C7</v>
      </c>
      <c r="G105" s="118" t="str">
        <f>ADDRESS(ROW(),COLUMN(),1,0)</f>
        <v>R105C7</v>
      </c>
      <c r="H105" s="96"/>
      <c r="I105" s="43"/>
    </row>
    <row r="106" spans="1:9" ht="72.75">
      <c r="A106" s="131">
        <f t="shared" si="1"/>
        <v>103</v>
      </c>
      <c r="B106" s="113" t="s">
        <v>404</v>
      </c>
      <c r="C106" s="139" t="s">
        <v>405</v>
      </c>
      <c r="D106" s="123" t="s">
        <v>406</v>
      </c>
      <c r="E106" s="93"/>
      <c r="F106" s="106"/>
      <c r="G106" s="106"/>
      <c r="H106" s="43"/>
      <c r="I106" s="43"/>
    </row>
    <row r="107" spans="1:9" ht="45.75">
      <c r="A107" s="34">
        <f t="shared" si="1"/>
        <v>104</v>
      </c>
      <c r="B107" s="135" t="s">
        <v>407</v>
      </c>
      <c r="C107" s="140" t="s">
        <v>408</v>
      </c>
      <c r="D107" s="24" t="s">
        <v>409</v>
      </c>
      <c r="E107" s="93"/>
      <c r="F107" s="106"/>
      <c r="G107" s="43"/>
      <c r="H107" s="43"/>
      <c r="I107" s="43"/>
    </row>
    <row r="108" spans="1:9" ht="72.75">
      <c r="A108" s="141">
        <f t="shared" si="1"/>
        <v>105</v>
      </c>
      <c r="B108" s="113" t="s">
        <v>410</v>
      </c>
      <c r="C108" s="142" t="s">
        <v>411</v>
      </c>
      <c r="D108" s="66" t="s">
        <v>412</v>
      </c>
      <c r="E108" s="43"/>
      <c r="F108" s="96"/>
      <c r="G108" s="43"/>
      <c r="H108" s="43"/>
      <c r="I108" s="43"/>
    </row>
    <row r="109" spans="1:9" ht="72.75">
      <c r="A109" s="131">
        <f t="shared" si="1"/>
        <v>106</v>
      </c>
      <c r="B109" s="113" t="s">
        <v>413</v>
      </c>
      <c r="C109" s="142" t="s">
        <v>414</v>
      </c>
      <c r="D109" s="123" t="s">
        <v>415</v>
      </c>
      <c r="E109" s="93"/>
      <c r="F109" s="96"/>
      <c r="G109" s="43"/>
      <c r="H109" s="43"/>
      <c r="I109" s="43"/>
    </row>
    <row r="110" spans="1:9" ht="151.5" customHeight="1">
      <c r="A110" s="34">
        <f t="shared" si="1"/>
        <v>107</v>
      </c>
      <c r="B110" s="164" t="s">
        <v>416</v>
      </c>
      <c r="C110" s="16" t="s">
        <v>417</v>
      </c>
      <c r="D110" s="23" t="s">
        <v>418</v>
      </c>
      <c r="E110" s="43"/>
      <c r="F110" s="96"/>
      <c r="G110" s="43"/>
      <c r="H110" s="43"/>
      <c r="I110" s="43"/>
    </row>
    <row r="111" spans="1:9">
      <c r="C111" s="21"/>
      <c r="D111" s="21"/>
    </row>
    <row r="112" spans="1:9">
      <c r="C112" s="21"/>
      <c r="D112" s="21"/>
    </row>
    <row r="113" spans="1:5">
      <c r="A113" s="37" t="s">
        <v>419</v>
      </c>
      <c r="C113" s="21"/>
    </row>
    <row r="114" spans="1:5">
      <c r="A114" s="37">
        <v>1</v>
      </c>
      <c r="B114" s="37" t="s">
        <v>397</v>
      </c>
    </row>
    <row r="116" spans="1:5">
      <c r="B116" s="168" t="s">
        <v>420</v>
      </c>
      <c r="C116" s="181" t="s">
        <v>421</v>
      </c>
      <c r="D116" s="170" t="s">
        <v>422</v>
      </c>
      <c r="E116" s="171" t="s">
        <v>423</v>
      </c>
    </row>
    <row r="117" spans="1:5">
      <c r="B117" s="172" t="s">
        <v>424</v>
      </c>
      <c r="C117" s="173">
        <v>1</v>
      </c>
      <c r="D117" s="173">
        <v>4879</v>
      </c>
      <c r="E117" s="174">
        <v>0</v>
      </c>
    </row>
    <row r="118" spans="1:5">
      <c r="B118" s="175" t="s">
        <v>425</v>
      </c>
      <c r="C118" s="176">
        <v>2</v>
      </c>
      <c r="D118" s="176">
        <v>12104</v>
      </c>
      <c r="E118" s="177">
        <v>0</v>
      </c>
    </row>
    <row r="119" spans="1:5">
      <c r="B119" s="175" t="s">
        <v>426</v>
      </c>
      <c r="C119" s="176">
        <v>3</v>
      </c>
      <c r="D119" s="176">
        <v>12756</v>
      </c>
      <c r="E119" s="177">
        <v>1</v>
      </c>
    </row>
    <row r="120" spans="1:5">
      <c r="B120" s="175" t="s">
        <v>427</v>
      </c>
      <c r="C120" s="176">
        <v>4</v>
      </c>
      <c r="D120" s="176">
        <v>6792</v>
      </c>
      <c r="E120" s="177">
        <v>2</v>
      </c>
    </row>
    <row r="121" spans="1:5">
      <c r="B121" s="175" t="s">
        <v>428</v>
      </c>
      <c r="C121" s="176">
        <v>5</v>
      </c>
      <c r="D121" s="176">
        <v>142984</v>
      </c>
      <c r="E121" s="177">
        <v>67</v>
      </c>
    </row>
    <row r="122" spans="1:5">
      <c r="B122" s="182" t="s">
        <v>429</v>
      </c>
      <c r="C122" s="183">
        <v>6</v>
      </c>
      <c r="D122" s="183">
        <v>120536</v>
      </c>
      <c r="E122" s="184">
        <v>200</v>
      </c>
    </row>
    <row r="124" spans="1:5">
      <c r="B124" s="37" t="s">
        <v>430</v>
      </c>
      <c r="C124" s="33" t="s">
        <v>431</v>
      </c>
      <c r="D124" s="126">
        <f ca="1">OFFSET(B116,3,3)</f>
        <v>1</v>
      </c>
    </row>
    <row r="126" spans="1:5">
      <c r="A126" s="37">
        <v>2</v>
      </c>
      <c r="B126" s="3" t="s">
        <v>404</v>
      </c>
    </row>
    <row r="128" spans="1:5">
      <c r="B128" s="161" t="s">
        <v>420</v>
      </c>
      <c r="C128"/>
    </row>
    <row r="129" spans="1:12">
      <c r="B129" s="162" t="s">
        <v>424</v>
      </c>
      <c r="C129"/>
    </row>
    <row r="130" spans="1:12">
      <c r="B130" s="163" t="s">
        <v>425</v>
      </c>
      <c r="C130"/>
    </row>
    <row r="131" spans="1:12">
      <c r="B131" s="163" t="s">
        <v>426</v>
      </c>
      <c r="C131" t="s">
        <v>432</v>
      </c>
    </row>
    <row r="132" spans="1:12">
      <c r="B132" s="163" t="s">
        <v>427</v>
      </c>
      <c r="C132" t="s">
        <v>433</v>
      </c>
    </row>
    <row r="133" spans="1:12">
      <c r="B133" s="163" t="s">
        <v>428</v>
      </c>
      <c r="C133" t="s">
        <v>434</v>
      </c>
    </row>
    <row r="134" spans="1:12">
      <c r="B134" s="163" t="s">
        <v>429</v>
      </c>
      <c r="C134"/>
    </row>
    <row r="135" spans="1:12">
      <c r="B135" s="163" t="s">
        <v>435</v>
      </c>
      <c r="C135"/>
    </row>
    <row r="136" spans="1:12">
      <c r="B136" s="163" t="s">
        <v>436</v>
      </c>
      <c r="C136"/>
    </row>
    <row r="137" spans="1:12">
      <c r="B137" s="165"/>
      <c r="C137"/>
    </row>
    <row r="139" spans="1:12">
      <c r="B139" s="37" t="s">
        <v>430</v>
      </c>
      <c r="C139" s="33" t="str" cm="1">
        <f t="array" ref="C139:L139">TRANSPOSE(B128:B137)</f>
        <v>Planet</v>
      </c>
      <c r="D139" s="126" t="str">
        <v>Mercury</v>
      </c>
      <c r="E139" s="33" t="str">
        <v>Venus</v>
      </c>
      <c r="F139" s="33" t="str">
        <v>Earth</v>
      </c>
      <c r="G139" s="33" t="str">
        <v>Mars</v>
      </c>
      <c r="H139" s="33" t="str">
        <v>Jupiter</v>
      </c>
      <c r="I139" s="33" t="str">
        <v>Saturn</v>
      </c>
      <c r="J139" s="33" t="str">
        <v>Uranus</v>
      </c>
      <c r="K139" s="33" t="str">
        <v>Neptune</v>
      </c>
      <c r="L139" s="33">
        <v>0</v>
      </c>
    </row>
    <row r="141" spans="1:12">
      <c r="A141" s="37">
        <v>3</v>
      </c>
      <c r="B141" s="19" t="s">
        <v>407</v>
      </c>
    </row>
    <row r="143" spans="1:12">
      <c r="B143" s="159" t="s">
        <v>420</v>
      </c>
      <c r="C143" s="167" t="s">
        <v>421</v>
      </c>
      <c r="D143" s="166" t="s">
        <v>422</v>
      </c>
      <c r="E143" s="160" t="s">
        <v>423</v>
      </c>
    </row>
    <row r="144" spans="1:12">
      <c r="B144" s="172" t="s">
        <v>424</v>
      </c>
      <c r="C144" s="173">
        <v>1</v>
      </c>
      <c r="D144" s="173">
        <v>4879</v>
      </c>
      <c r="E144" s="174">
        <v>0</v>
      </c>
    </row>
    <row r="145" spans="1:5">
      <c r="B145" s="175" t="s">
        <v>425</v>
      </c>
      <c r="C145" s="176">
        <v>2</v>
      </c>
      <c r="D145" s="176">
        <v>12104</v>
      </c>
      <c r="E145" s="177">
        <v>0</v>
      </c>
    </row>
    <row r="146" spans="1:5">
      <c r="B146" s="175" t="s">
        <v>426</v>
      </c>
      <c r="C146" s="176">
        <v>3</v>
      </c>
      <c r="D146" s="176">
        <v>12756</v>
      </c>
      <c r="E146" s="177">
        <v>1</v>
      </c>
    </row>
    <row r="147" spans="1:5">
      <c r="B147" s="175" t="s">
        <v>427</v>
      </c>
      <c r="C147" s="176">
        <v>4</v>
      </c>
      <c r="D147" s="176">
        <v>6792</v>
      </c>
      <c r="E147" s="177">
        <v>2</v>
      </c>
    </row>
    <row r="148" spans="1:5">
      <c r="B148" s="175" t="s">
        <v>428</v>
      </c>
      <c r="C148" s="176">
        <v>5</v>
      </c>
      <c r="D148" s="176">
        <v>142984</v>
      </c>
      <c r="E148" s="177">
        <v>67</v>
      </c>
    </row>
    <row r="149" spans="1:5">
      <c r="B149" s="175" t="s">
        <v>429</v>
      </c>
      <c r="C149" s="176">
        <v>6</v>
      </c>
      <c r="D149" s="176">
        <v>120536</v>
      </c>
      <c r="E149" s="177">
        <v>200</v>
      </c>
    </row>
    <row r="150" spans="1:5">
      <c r="B150" s="175" t="s">
        <v>435</v>
      </c>
      <c r="C150" s="176">
        <v>7</v>
      </c>
      <c r="D150" s="176">
        <v>51118</v>
      </c>
      <c r="E150" s="177">
        <v>27</v>
      </c>
    </row>
    <row r="151" spans="1:5">
      <c r="B151" s="175" t="s">
        <v>436</v>
      </c>
      <c r="C151" s="176">
        <v>8</v>
      </c>
      <c r="D151" s="176">
        <v>49528</v>
      </c>
      <c r="E151" s="177">
        <v>13</v>
      </c>
    </row>
    <row r="152" spans="1:5">
      <c r="B152" s="178" t="s">
        <v>437</v>
      </c>
      <c r="C152" s="179">
        <v>9</v>
      </c>
      <c r="D152" s="179">
        <v>2306</v>
      </c>
      <c r="E152" s="180">
        <v>5</v>
      </c>
    </row>
    <row r="154" spans="1:5">
      <c r="B154" s="37" t="s">
        <v>430</v>
      </c>
      <c r="C154" s="33">
        <f>INDEX(B143:E152,5,3)</f>
        <v>6792</v>
      </c>
    </row>
    <row r="156" spans="1:5">
      <c r="A156" s="37">
        <v>4</v>
      </c>
      <c r="B156" s="19" t="s">
        <v>410</v>
      </c>
    </row>
    <row r="158" spans="1:5">
      <c r="B158" s="168" t="s">
        <v>420</v>
      </c>
      <c r="C158" s="169" t="s">
        <v>421</v>
      </c>
      <c r="D158" s="170" t="s">
        <v>422</v>
      </c>
      <c r="E158" s="171" t="s">
        <v>423</v>
      </c>
    </row>
    <row r="159" spans="1:5">
      <c r="B159" s="172" t="s">
        <v>424</v>
      </c>
      <c r="C159" s="173">
        <v>1</v>
      </c>
      <c r="D159" s="173">
        <v>4879</v>
      </c>
      <c r="E159" s="174">
        <v>0</v>
      </c>
    </row>
    <row r="160" spans="1:5">
      <c r="B160" s="175" t="s">
        <v>425</v>
      </c>
      <c r="C160" s="176">
        <v>2</v>
      </c>
      <c r="D160" s="176">
        <v>12104</v>
      </c>
      <c r="E160" s="177">
        <v>0</v>
      </c>
    </row>
    <row r="161" spans="1:5">
      <c r="B161" s="175" t="s">
        <v>426</v>
      </c>
      <c r="C161" s="176">
        <v>3</v>
      </c>
      <c r="D161" s="176">
        <v>12756</v>
      </c>
      <c r="E161" s="177">
        <v>1</v>
      </c>
    </row>
    <row r="162" spans="1:5">
      <c r="B162" s="175" t="s">
        <v>427</v>
      </c>
      <c r="C162" s="176">
        <v>4</v>
      </c>
      <c r="D162" s="176">
        <v>6792</v>
      </c>
      <c r="E162" s="177">
        <v>2</v>
      </c>
    </row>
    <row r="163" spans="1:5">
      <c r="B163" s="175" t="s">
        <v>428</v>
      </c>
      <c r="C163" s="176">
        <v>5</v>
      </c>
      <c r="D163" s="176">
        <v>142984</v>
      </c>
      <c r="E163" s="177">
        <v>67</v>
      </c>
    </row>
    <row r="164" spans="1:5">
      <c r="B164" s="175" t="s">
        <v>429</v>
      </c>
      <c r="C164" s="176">
        <v>6</v>
      </c>
      <c r="D164" s="176">
        <v>120536</v>
      </c>
      <c r="E164" s="177">
        <v>200</v>
      </c>
    </row>
    <row r="165" spans="1:5">
      <c r="B165" s="175" t="s">
        <v>435</v>
      </c>
      <c r="C165" s="176">
        <v>7</v>
      </c>
      <c r="D165" s="176">
        <v>51118</v>
      </c>
      <c r="E165" s="177">
        <v>27</v>
      </c>
    </row>
    <row r="166" spans="1:5">
      <c r="B166" s="175" t="s">
        <v>436</v>
      </c>
      <c r="C166" s="176">
        <v>8</v>
      </c>
      <c r="D166" s="176">
        <v>49528</v>
      </c>
      <c r="E166" s="177">
        <v>13</v>
      </c>
    </row>
    <row r="167" spans="1:5">
      <c r="B167" s="178" t="s">
        <v>437</v>
      </c>
      <c r="C167" s="179">
        <v>9</v>
      </c>
      <c r="D167" s="179">
        <v>2306</v>
      </c>
      <c r="E167" s="180">
        <v>5</v>
      </c>
    </row>
    <row r="169" spans="1:5">
      <c r="B169" s="37" t="s">
        <v>430</v>
      </c>
      <c r="C169" s="33" t="s">
        <v>438</v>
      </c>
      <c r="D169" s="126">
        <f>MATCH(B162,B158:B167,0)</f>
        <v>5</v>
      </c>
    </row>
    <row r="171" spans="1:5">
      <c r="A171" s="37">
        <v>5</v>
      </c>
      <c r="B171" s="19" t="s">
        <v>439</v>
      </c>
    </row>
    <row r="173" spans="1:5">
      <c r="A173"/>
      <c r="B173" s="28" t="s">
        <v>440</v>
      </c>
      <c r="C173" s="28" t="s">
        <v>441</v>
      </c>
      <c r="D173" s="28" t="s">
        <v>442</v>
      </c>
    </row>
    <row r="174" spans="1:5">
      <c r="A174"/>
      <c r="B174" s="28">
        <v>101</v>
      </c>
      <c r="C174" s="28" t="s">
        <v>443</v>
      </c>
      <c r="D174" s="185">
        <v>60000</v>
      </c>
    </row>
    <row r="175" spans="1:5">
      <c r="A175"/>
      <c r="B175" s="28">
        <v>102</v>
      </c>
      <c r="C175" s="28" t="s">
        <v>444</v>
      </c>
      <c r="D175" s="185">
        <v>70000</v>
      </c>
    </row>
    <row r="176" spans="1:5">
      <c r="A176"/>
      <c r="B176" s="28">
        <v>103</v>
      </c>
      <c r="C176" s="28" t="s">
        <v>445</v>
      </c>
      <c r="D176" s="185">
        <v>80000</v>
      </c>
    </row>
    <row r="177" spans="1:7">
      <c r="A177"/>
      <c r="B177" s="28">
        <v>104</v>
      </c>
      <c r="C177" s="28" t="s">
        <v>446</v>
      </c>
      <c r="D177" s="185">
        <v>70000</v>
      </c>
    </row>
    <row r="178" spans="1:7">
      <c r="A178"/>
      <c r="B178" s="28">
        <v>105</v>
      </c>
      <c r="C178" s="28" t="s">
        <v>447</v>
      </c>
      <c r="D178" s="185">
        <v>50000</v>
      </c>
    </row>
    <row r="179" spans="1:7">
      <c r="A179"/>
      <c r="B179"/>
      <c r="C179"/>
      <c r="D179"/>
    </row>
    <row r="180" spans="1:7">
      <c r="A180"/>
      <c r="B180" t="s">
        <v>430</v>
      </c>
      <c r="C180" t="s">
        <v>448</v>
      </c>
      <c r="D180" s="187">
        <f>INDEX(B173:D178,MATCH(B175,B173:B178,0),MATCH(D173,B173:D173,0))</f>
        <v>70000</v>
      </c>
    </row>
    <row r="181" spans="1:7">
      <c r="D181" s="186">
        <f>INDEX(D174:D178,MATCH(B175,B174:B178,0))</f>
        <v>70000</v>
      </c>
    </row>
    <row r="182" spans="1:7">
      <c r="D182" s="186"/>
    </row>
    <row r="183" spans="1:7">
      <c r="A183" s="37">
        <v>6</v>
      </c>
      <c r="B183" s="37" t="s">
        <v>449</v>
      </c>
    </row>
    <row r="185" spans="1:7">
      <c r="B185" s="188" t="s">
        <v>450</v>
      </c>
      <c r="C185" s="189">
        <v>1</v>
      </c>
      <c r="D185" s="189">
        <v>2</v>
      </c>
      <c r="E185" s="189">
        <v>3</v>
      </c>
      <c r="F185" s="189">
        <v>4</v>
      </c>
      <c r="G185" s="190">
        <v>5</v>
      </c>
    </row>
    <row r="186" spans="1:7">
      <c r="B186" s="191" t="s">
        <v>451</v>
      </c>
      <c r="C186" s="192">
        <v>2.5000000000000001E-2</v>
      </c>
      <c r="D186" s="192">
        <v>3.5000000000000003E-2</v>
      </c>
      <c r="E186" s="192">
        <v>0.04</v>
      </c>
      <c r="F186" s="192">
        <v>0.02</v>
      </c>
      <c r="G186" s="193">
        <v>4.4999999999999998E-2</v>
      </c>
    </row>
    <row r="187" spans="1:7">
      <c r="B187" s="194"/>
      <c r="C187" s="194"/>
      <c r="D187" s="194"/>
      <c r="E187" s="194"/>
      <c r="F187" s="194"/>
      <c r="G187" s="194"/>
    </row>
    <row r="188" spans="1:7">
      <c r="B188" s="194"/>
      <c r="C188" s="194"/>
      <c r="D188" s="194"/>
      <c r="E188" s="194"/>
      <c r="F188" s="194"/>
      <c r="G188" s="194"/>
    </row>
    <row r="189" spans="1:7">
      <c r="B189" s="195" t="s">
        <v>450</v>
      </c>
      <c r="C189" s="196" t="s">
        <v>451</v>
      </c>
      <c r="D189" s="194"/>
      <c r="E189" s="194"/>
      <c r="F189" s="194"/>
      <c r="G189" s="194"/>
    </row>
    <row r="190" spans="1:7">
      <c r="B190" s="197">
        <v>1</v>
      </c>
      <c r="C190" s="198">
        <v>2.5000000000000001E-2</v>
      </c>
      <c r="D190" s="194"/>
      <c r="E190" s="194"/>
      <c r="F190" s="194"/>
      <c r="G190" s="194"/>
    </row>
    <row r="191" spans="1:7">
      <c r="B191" s="197">
        <v>2</v>
      </c>
      <c r="C191" s="198">
        <v>3.5000000000000003E-2</v>
      </c>
      <c r="D191" s="194"/>
      <c r="E191" s="194"/>
      <c r="F191" s="194"/>
      <c r="G191" s="194"/>
    </row>
    <row r="192" spans="1:7">
      <c r="B192" s="197">
        <v>3</v>
      </c>
      <c r="C192" s="198">
        <v>0.04</v>
      </c>
      <c r="D192" s="194"/>
      <c r="E192" s="194"/>
      <c r="F192" s="194"/>
      <c r="G192" s="194"/>
    </row>
    <row r="193" spans="2:7">
      <c r="B193" s="197">
        <v>4</v>
      </c>
      <c r="C193" s="198">
        <v>0.02</v>
      </c>
      <c r="D193" s="194"/>
      <c r="E193" s="194"/>
      <c r="F193" s="194"/>
      <c r="G193" s="194"/>
    </row>
    <row r="194" spans="2:7">
      <c r="B194" s="199">
        <v>5</v>
      </c>
      <c r="C194" s="193">
        <v>4.4999999999999998E-2</v>
      </c>
      <c r="D194" s="194"/>
      <c r="E194" s="194"/>
      <c r="F194" s="194"/>
      <c r="G194" s="210"/>
    </row>
    <row r="195" spans="2:7">
      <c r="G195" s="32"/>
    </row>
    <row r="196" spans="2:7">
      <c r="B196" s="200" t="s">
        <v>452</v>
      </c>
      <c r="C196" s="200" t="s">
        <v>450</v>
      </c>
      <c r="D196" s="206" t="s">
        <v>453</v>
      </c>
      <c r="E196" s="209" t="s">
        <v>413</v>
      </c>
      <c r="F196" s="205" t="s">
        <v>416</v>
      </c>
      <c r="G196" s="207"/>
    </row>
    <row r="197" spans="2:7">
      <c r="B197" s="201">
        <v>1</v>
      </c>
      <c r="C197" s="202">
        <v>4</v>
      </c>
      <c r="D197" s="203">
        <v>2282204</v>
      </c>
      <c r="E197" s="212">
        <f>HLOOKUP(C197,$B$185:$G$186,2)</f>
        <v>0.02</v>
      </c>
      <c r="F197" s="211">
        <f>VLOOKUP(C197,$B$189:$C$194,2)</f>
        <v>0.02</v>
      </c>
      <c r="G197" s="208"/>
    </row>
    <row r="198" spans="2:7">
      <c r="B198" s="204">
        <f t="shared" ref="B198:B208" si="2">B197+1</f>
        <v>2</v>
      </c>
      <c r="C198" s="202">
        <v>5</v>
      </c>
      <c r="D198" s="203">
        <v>6401594</v>
      </c>
      <c r="E198" s="212">
        <f t="shared" ref="E198:E208" si="3">HLOOKUP(C198,$B$185:$G$186,2)</f>
        <v>4.4999999999999998E-2</v>
      </c>
      <c r="F198" s="211">
        <f t="shared" ref="F198:F208" si="4">VLOOKUP(C198,$B$189:$C$194,2)</f>
        <v>4.4999999999999998E-2</v>
      </c>
      <c r="G198" s="208"/>
    </row>
    <row r="199" spans="2:7">
      <c r="B199" s="204">
        <f t="shared" si="2"/>
        <v>3</v>
      </c>
      <c r="C199" s="202">
        <v>3</v>
      </c>
      <c r="D199" s="203">
        <v>7894289</v>
      </c>
      <c r="E199" s="212">
        <f t="shared" si="3"/>
        <v>0.04</v>
      </c>
      <c r="F199" s="211">
        <f t="shared" si="4"/>
        <v>0.04</v>
      </c>
      <c r="G199" s="208"/>
    </row>
    <row r="200" spans="2:7">
      <c r="B200" s="204">
        <f t="shared" si="2"/>
        <v>4</v>
      </c>
      <c r="C200" s="202">
        <v>1</v>
      </c>
      <c r="D200" s="203">
        <v>3005743</v>
      </c>
      <c r="E200" s="212">
        <f t="shared" si="3"/>
        <v>2.5000000000000001E-2</v>
      </c>
      <c r="F200" s="211">
        <f t="shared" si="4"/>
        <v>2.5000000000000001E-2</v>
      </c>
      <c r="G200" s="208"/>
    </row>
    <row r="201" spans="2:7">
      <c r="B201" s="204">
        <f t="shared" si="2"/>
        <v>5</v>
      </c>
      <c r="C201" s="202">
        <v>1</v>
      </c>
      <c r="D201" s="203">
        <v>4577483</v>
      </c>
      <c r="E201" s="212">
        <f t="shared" si="3"/>
        <v>2.5000000000000001E-2</v>
      </c>
      <c r="F201" s="211">
        <f t="shared" si="4"/>
        <v>2.5000000000000001E-2</v>
      </c>
      <c r="G201" s="208"/>
    </row>
    <row r="202" spans="2:7">
      <c r="B202" s="204">
        <f t="shared" si="2"/>
        <v>6</v>
      </c>
      <c r="C202" s="202">
        <v>5</v>
      </c>
      <c r="D202" s="203">
        <v>104240</v>
      </c>
      <c r="E202" s="212">
        <f t="shared" si="3"/>
        <v>4.4999999999999998E-2</v>
      </c>
      <c r="F202" s="211">
        <f t="shared" si="4"/>
        <v>4.4999999999999998E-2</v>
      </c>
      <c r="G202" s="208"/>
    </row>
    <row r="203" spans="2:7">
      <c r="B203" s="204">
        <f t="shared" si="2"/>
        <v>7</v>
      </c>
      <c r="C203" s="202">
        <v>3</v>
      </c>
      <c r="D203" s="203">
        <v>2039131</v>
      </c>
      <c r="E203" s="212">
        <f t="shared" si="3"/>
        <v>0.04</v>
      </c>
      <c r="F203" s="211">
        <f t="shared" si="4"/>
        <v>0.04</v>
      </c>
      <c r="G203" s="208"/>
    </row>
    <row r="204" spans="2:7">
      <c r="B204" s="204">
        <f t="shared" si="2"/>
        <v>8</v>
      </c>
      <c r="C204" s="202">
        <v>4</v>
      </c>
      <c r="D204" s="203">
        <v>5012584</v>
      </c>
      <c r="E204" s="212">
        <f t="shared" si="3"/>
        <v>0.02</v>
      </c>
      <c r="F204" s="211">
        <f t="shared" si="4"/>
        <v>0.02</v>
      </c>
      <c r="G204" s="208"/>
    </row>
    <row r="205" spans="2:7">
      <c r="B205" s="204">
        <f t="shared" si="2"/>
        <v>9</v>
      </c>
      <c r="C205" s="202">
        <v>2</v>
      </c>
      <c r="D205" s="203">
        <v>5259105</v>
      </c>
      <c r="E205" s="212">
        <f t="shared" si="3"/>
        <v>3.5000000000000003E-2</v>
      </c>
      <c r="F205" s="211">
        <f t="shared" si="4"/>
        <v>3.5000000000000003E-2</v>
      </c>
      <c r="G205" s="208"/>
    </row>
    <row r="206" spans="2:7">
      <c r="B206" s="204">
        <f t="shared" si="2"/>
        <v>10</v>
      </c>
      <c r="C206" s="202">
        <v>5</v>
      </c>
      <c r="D206" s="203">
        <v>6425351</v>
      </c>
      <c r="E206" s="212">
        <f t="shared" si="3"/>
        <v>4.4999999999999998E-2</v>
      </c>
      <c r="F206" s="211">
        <f t="shared" si="4"/>
        <v>4.4999999999999998E-2</v>
      </c>
      <c r="G206" s="208"/>
    </row>
    <row r="207" spans="2:7">
      <c r="B207" s="204">
        <f t="shared" si="2"/>
        <v>11</v>
      </c>
      <c r="C207" s="202">
        <v>3</v>
      </c>
      <c r="D207" s="203">
        <v>8849817</v>
      </c>
      <c r="E207" s="212">
        <f t="shared" si="3"/>
        <v>0.04</v>
      </c>
      <c r="F207" s="211">
        <f t="shared" si="4"/>
        <v>0.04</v>
      </c>
      <c r="G207" s="208"/>
    </row>
    <row r="208" spans="2:7">
      <c r="B208" s="204">
        <f t="shared" si="2"/>
        <v>12</v>
      </c>
      <c r="C208" s="202">
        <v>5</v>
      </c>
      <c r="D208" s="203">
        <v>6519142</v>
      </c>
      <c r="E208" s="212">
        <f t="shared" si="3"/>
        <v>4.4999999999999998E-2</v>
      </c>
      <c r="F208" s="211">
        <f t="shared" si="4"/>
        <v>4.4999999999999998E-2</v>
      </c>
      <c r="G208" s="208"/>
    </row>
  </sheetData>
  <mergeCells count="1">
    <mergeCell ref="C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C2DA-FD0D-4311-8FE4-F5550E069A7C}">
  <dimension ref="A2:S44"/>
  <sheetViews>
    <sheetView topLeftCell="A13" workbookViewId="0">
      <selection activeCell="K30" sqref="K30"/>
    </sheetView>
  </sheetViews>
  <sheetFormatPr defaultColWidth="30.7109375" defaultRowHeight="15"/>
  <cols>
    <col min="1" max="1" width="30.7109375" style="1"/>
    <col min="2" max="2" width="36.5703125" style="1" bestFit="1" customWidth="1"/>
    <col min="3" max="5" width="36.5703125" style="2" bestFit="1" customWidth="1"/>
    <col min="6" max="6" width="48.28515625" style="7" customWidth="1"/>
    <col min="7" max="7" width="36.5703125" style="2" bestFit="1" customWidth="1"/>
    <col min="8" max="16384" width="30.7109375" style="2"/>
  </cols>
  <sheetData>
    <row r="2" spans="1:12" ht="24">
      <c r="C2" s="18" t="s">
        <v>454</v>
      </c>
      <c r="D2" s="18"/>
    </row>
    <row r="3" spans="1:12">
      <c r="A3" s="4" t="s">
        <v>1</v>
      </c>
      <c r="B3" s="8" t="s">
        <v>2</v>
      </c>
      <c r="C3" s="8" t="s">
        <v>3</v>
      </c>
      <c r="D3" s="8" t="s">
        <v>4</v>
      </c>
      <c r="E3" s="4" t="s">
        <v>5</v>
      </c>
      <c r="F3" s="14" t="s">
        <v>6</v>
      </c>
      <c r="G3" s="9"/>
      <c r="H3" s="10"/>
      <c r="I3" s="5"/>
      <c r="J3" s="5"/>
    </row>
    <row r="4" spans="1:12" ht="91.5">
      <c r="A4" s="9">
        <v>1</v>
      </c>
      <c r="B4" s="34" t="s">
        <v>455</v>
      </c>
      <c r="C4" s="51" t="s">
        <v>456</v>
      </c>
      <c r="D4" s="143" t="s">
        <v>457</v>
      </c>
      <c r="E4" s="146" t="s">
        <v>458</v>
      </c>
      <c r="F4" s="129" t="str">
        <f>LEFT(G4,FIND("]",G4))</f>
        <v>C:\Users\eeekl\OneDrive\Desktop\Training\[Excel Training.xlsx]</v>
      </c>
      <c r="G4" s="151" t="s">
        <v>459</v>
      </c>
      <c r="H4" s="44"/>
      <c r="I4" s="43"/>
      <c r="J4" s="43"/>
      <c r="K4" s="33"/>
      <c r="L4" s="33"/>
    </row>
    <row r="5" spans="1:12" ht="29.25">
      <c r="A5" s="9">
        <f>A4+1</f>
        <v>2</v>
      </c>
      <c r="B5" s="34" t="s">
        <v>460</v>
      </c>
      <c r="C5" s="51" t="s">
        <v>461</v>
      </c>
      <c r="D5" s="144" t="s">
        <v>462</v>
      </c>
      <c r="E5" s="147" t="s">
        <v>461</v>
      </c>
      <c r="F5" s="118" t="str">
        <f ca="1">(CONCATENATE("Today's date is"," ",TEXT(TODAY(),"dd/mm/yyyy")))</f>
        <v>Today's date is 03/10/2025</v>
      </c>
      <c r="G5" s="44"/>
      <c r="H5" s="44"/>
      <c r="I5" s="43"/>
      <c r="J5" s="43"/>
      <c r="K5" s="33"/>
      <c r="L5" s="33"/>
    </row>
    <row r="6" spans="1:12" ht="45.75">
      <c r="A6" s="9">
        <f t="shared" ref="A6:A31" si="0">A5+1</f>
        <v>3</v>
      </c>
      <c r="B6" s="34" t="s">
        <v>463</v>
      </c>
      <c r="C6" s="65" t="s">
        <v>464</v>
      </c>
      <c r="D6" s="143" t="s">
        <v>465</v>
      </c>
      <c r="E6" s="17" t="s">
        <v>466</v>
      </c>
      <c r="F6" s="129" t="str">
        <f>UPPER(LEFT(G6,FIND(" ",G6)))</f>
        <v xml:space="preserve">MOHIT </v>
      </c>
      <c r="G6" s="44" t="s">
        <v>33</v>
      </c>
      <c r="H6" s="44"/>
      <c r="I6" s="43"/>
      <c r="J6" s="43"/>
      <c r="K6" s="33"/>
      <c r="L6" s="33"/>
    </row>
    <row r="7" spans="1:12" ht="45.75">
      <c r="A7" s="9">
        <f t="shared" si="0"/>
        <v>4</v>
      </c>
      <c r="B7" s="34" t="s">
        <v>467</v>
      </c>
      <c r="C7" s="65" t="s">
        <v>468</v>
      </c>
      <c r="D7" s="143" t="s">
        <v>469</v>
      </c>
      <c r="E7" s="17" t="s">
        <v>470</v>
      </c>
      <c r="F7" s="129" t="str">
        <f>LOWER(LEFT(G7,FIND(" ",G7)))</f>
        <v xml:space="preserve">mohit </v>
      </c>
      <c r="G7" s="44" t="s">
        <v>33</v>
      </c>
      <c r="H7" s="44"/>
      <c r="I7" s="43"/>
      <c r="J7" s="43"/>
      <c r="K7" s="33"/>
      <c r="L7" s="33"/>
    </row>
    <row r="8" spans="1:12" ht="30.75">
      <c r="A8" s="9">
        <f t="shared" si="0"/>
        <v>5</v>
      </c>
      <c r="B8" s="34" t="s">
        <v>471</v>
      </c>
      <c r="C8" s="65" t="s">
        <v>472</v>
      </c>
      <c r="D8" s="143" t="s">
        <v>473</v>
      </c>
      <c r="E8" s="17" t="s">
        <v>472</v>
      </c>
      <c r="F8" s="129" t="str">
        <f>PROPER(LEFT(G8,FIND(" ",G8)))</f>
        <v xml:space="preserve">Mohit </v>
      </c>
      <c r="G8" s="44" t="s">
        <v>474</v>
      </c>
      <c r="H8" s="43"/>
      <c r="I8" s="79"/>
      <c r="J8" s="79"/>
      <c r="K8" s="33"/>
      <c r="L8" s="33"/>
    </row>
    <row r="9" spans="1:12" ht="45.75">
      <c r="A9" s="9">
        <f t="shared" si="0"/>
        <v>6</v>
      </c>
      <c r="B9" s="34" t="s">
        <v>475</v>
      </c>
      <c r="C9" s="65" t="s">
        <v>464</v>
      </c>
      <c r="D9" s="143" t="s">
        <v>476</v>
      </c>
      <c r="E9" s="17" t="s">
        <v>477</v>
      </c>
      <c r="F9" s="129" t="str">
        <f>UPPER(RIGHT(G9,LEN(G9)-(FIND(" ",G9))))</f>
        <v>VOHRA</v>
      </c>
      <c r="G9" s="44" t="s">
        <v>33</v>
      </c>
      <c r="H9" s="43"/>
      <c r="I9" s="93"/>
      <c r="J9" s="93"/>
      <c r="K9" s="33"/>
      <c r="L9" s="33"/>
    </row>
    <row r="10" spans="1:12" ht="45.75">
      <c r="A10" s="9">
        <f t="shared" si="0"/>
        <v>7</v>
      </c>
      <c r="B10" s="34" t="s">
        <v>478</v>
      </c>
      <c r="C10" s="65" t="s">
        <v>468</v>
      </c>
      <c r="D10" s="143" t="s">
        <v>479</v>
      </c>
      <c r="E10" s="17" t="s">
        <v>480</v>
      </c>
      <c r="F10" s="129" t="str">
        <f>LOWER(RIGHT(G10,LEN(G10)-(FIND(" ",G10))))</f>
        <v>vohra</v>
      </c>
      <c r="G10" s="44" t="s">
        <v>33</v>
      </c>
      <c r="H10" s="44"/>
      <c r="I10" s="43"/>
      <c r="J10" s="43"/>
      <c r="K10" s="33"/>
      <c r="L10" s="33"/>
    </row>
    <row r="11" spans="1:12" ht="30.75">
      <c r="A11" s="9">
        <f t="shared" si="0"/>
        <v>8</v>
      </c>
      <c r="B11" s="34" t="s">
        <v>481</v>
      </c>
      <c r="C11" s="65" t="s">
        <v>472</v>
      </c>
      <c r="D11" s="143" t="s">
        <v>482</v>
      </c>
      <c r="E11" s="17" t="s">
        <v>483</v>
      </c>
      <c r="F11" s="129" t="str">
        <f>PROPER(RIGHT(G11,LEN(G11)-(FIND(" ",G11))))</f>
        <v>Vohra</v>
      </c>
      <c r="G11" s="44" t="s">
        <v>484</v>
      </c>
      <c r="H11" s="44"/>
      <c r="I11" s="43"/>
      <c r="J11" s="43"/>
      <c r="K11" s="33"/>
      <c r="L11" s="33"/>
    </row>
    <row r="12" spans="1:12" ht="45.75">
      <c r="A12" s="9">
        <f t="shared" si="0"/>
        <v>9</v>
      </c>
      <c r="B12" s="34" t="s">
        <v>485</v>
      </c>
      <c r="C12" s="65" t="s">
        <v>486</v>
      </c>
      <c r="D12" s="144" t="s">
        <v>487</v>
      </c>
      <c r="E12" s="17" t="s">
        <v>486</v>
      </c>
      <c r="F12" s="129" t="str">
        <f>UPPER(TRIM(G12))</f>
        <v>MOHIT VOHRA</v>
      </c>
      <c r="G12" s="44" t="s">
        <v>488</v>
      </c>
      <c r="H12" s="44"/>
      <c r="I12" s="43"/>
      <c r="J12" s="43"/>
      <c r="K12" s="33"/>
      <c r="L12" s="33"/>
    </row>
    <row r="13" spans="1:12" ht="45.75">
      <c r="A13" s="9">
        <f t="shared" si="0"/>
        <v>10</v>
      </c>
      <c r="B13" s="34" t="s">
        <v>489</v>
      </c>
      <c r="C13" s="65" t="s">
        <v>490</v>
      </c>
      <c r="D13" s="144" t="s">
        <v>491</v>
      </c>
      <c r="E13" s="17" t="s">
        <v>490</v>
      </c>
      <c r="F13" s="129" t="str">
        <f>PROPER(TRIM(G13))</f>
        <v>Mohit Vohra</v>
      </c>
      <c r="G13" s="44" t="s">
        <v>492</v>
      </c>
      <c r="H13" s="44"/>
      <c r="I13" s="43"/>
      <c r="J13" s="43"/>
      <c r="K13" s="33"/>
      <c r="L13" s="33"/>
    </row>
    <row r="14" spans="1:12" ht="45.75">
      <c r="A14" s="9">
        <f t="shared" si="0"/>
        <v>11</v>
      </c>
      <c r="B14" s="34" t="s">
        <v>493</v>
      </c>
      <c r="C14" s="65" t="s">
        <v>494</v>
      </c>
      <c r="D14" s="144" t="s">
        <v>495</v>
      </c>
      <c r="E14" s="17" t="s">
        <v>494</v>
      </c>
      <c r="F14" s="129" t="str">
        <f>LOWER(TRIM(G14))</f>
        <v>mohit vohra</v>
      </c>
      <c r="G14" s="44" t="s">
        <v>488</v>
      </c>
      <c r="H14" s="44"/>
      <c r="I14" s="43"/>
      <c r="J14" s="43"/>
      <c r="K14" s="33"/>
      <c r="L14" s="33"/>
    </row>
    <row r="15" spans="1:12" ht="60.75">
      <c r="A15" s="9">
        <f t="shared" si="0"/>
        <v>12</v>
      </c>
      <c r="B15" s="145" t="s">
        <v>496</v>
      </c>
      <c r="C15" s="65" t="s">
        <v>497</v>
      </c>
      <c r="D15" s="143" t="s">
        <v>498</v>
      </c>
      <c r="E15" s="17" t="s">
        <v>497</v>
      </c>
      <c r="F15" s="129" t="str">
        <f>CONCATENATE(UPPER(LEFT(G15,FIND(" ",G15))),LOWER(RIGHT(G15,(LEN(G15)-FIND(" ",G15)))))</f>
        <v>MOHIT vohra</v>
      </c>
      <c r="G15" s="59" t="s">
        <v>499</v>
      </c>
      <c r="H15" s="43"/>
      <c r="I15" s="79"/>
      <c r="J15" s="79"/>
      <c r="K15" s="33"/>
      <c r="L15" s="33"/>
    </row>
    <row r="16" spans="1:12" ht="43.5">
      <c r="A16" s="9">
        <f t="shared" si="0"/>
        <v>13</v>
      </c>
      <c r="B16" s="34" t="s">
        <v>500</v>
      </c>
      <c r="C16" s="65" t="s">
        <v>501</v>
      </c>
      <c r="D16" s="143" t="s">
        <v>502</v>
      </c>
      <c r="E16" s="17" t="s">
        <v>501</v>
      </c>
      <c r="F16" s="43">
        <f>TRIM(LEN(G16))-LEN(SUBSTITUTE(G16," ",""))+1</f>
        <v>9</v>
      </c>
      <c r="G16" s="77" t="s">
        <v>503</v>
      </c>
      <c r="H16" s="43"/>
      <c r="I16" s="43"/>
      <c r="J16" s="43"/>
      <c r="K16" s="33"/>
      <c r="L16" s="33"/>
    </row>
    <row r="17" spans="1:19" ht="91.5">
      <c r="A17" s="9">
        <f t="shared" si="0"/>
        <v>14</v>
      </c>
      <c r="B17" s="34" t="s">
        <v>504</v>
      </c>
      <c r="C17" s="51" t="s">
        <v>505</v>
      </c>
      <c r="D17" s="143" t="s">
        <v>506</v>
      </c>
      <c r="E17" s="17" t="s">
        <v>507</v>
      </c>
      <c r="F17" s="43">
        <f>IF(AND(G17&gt;100,H17="USA"),G17,G17+10)</f>
        <v>125</v>
      </c>
      <c r="G17" s="44">
        <v>115</v>
      </c>
      <c r="H17" s="43" t="s">
        <v>187</v>
      </c>
      <c r="I17" s="43"/>
      <c r="J17" s="43"/>
      <c r="K17" s="33"/>
      <c r="L17" s="33"/>
    </row>
    <row r="18" spans="1:19" ht="76.5">
      <c r="A18" s="9">
        <f t="shared" si="0"/>
        <v>15</v>
      </c>
      <c r="B18" s="34" t="s">
        <v>508</v>
      </c>
      <c r="C18" s="51" t="s">
        <v>509</v>
      </c>
      <c r="D18" s="143" t="s">
        <v>510</v>
      </c>
      <c r="E18" s="17" t="s">
        <v>511</v>
      </c>
      <c r="F18" s="50" t="str">
        <f>IF(OR(OR(G18&gt;=100000,H18&gt;=100000),AND(I18&gt;=50000,J18&gt;=50000)),"Yes","No")</f>
        <v>Yes</v>
      </c>
      <c r="G18" s="59">
        <v>50430</v>
      </c>
      <c r="H18" s="50">
        <v>73267</v>
      </c>
      <c r="I18" s="50">
        <v>108277</v>
      </c>
      <c r="J18" s="50">
        <v>150132</v>
      </c>
      <c r="K18" s="33"/>
      <c r="L18" s="33"/>
    </row>
    <row r="19" spans="1:19" ht="30.75">
      <c r="A19" s="9">
        <f t="shared" si="0"/>
        <v>16</v>
      </c>
      <c r="B19" s="64" t="s">
        <v>512</v>
      </c>
      <c r="C19" s="65" t="s">
        <v>513</v>
      </c>
      <c r="D19" s="143" t="s">
        <v>514</v>
      </c>
      <c r="E19" s="148"/>
      <c r="F19" s="50"/>
      <c r="G19" s="59"/>
      <c r="H19" s="43"/>
      <c r="I19" s="43"/>
      <c r="J19" s="43"/>
      <c r="K19" s="33"/>
      <c r="L19" s="33"/>
    </row>
    <row r="20" spans="1:19" ht="30.75">
      <c r="A20" s="9">
        <f t="shared" si="0"/>
        <v>17</v>
      </c>
      <c r="B20" s="64" t="s">
        <v>515</v>
      </c>
      <c r="C20" s="65" t="s">
        <v>516</v>
      </c>
      <c r="D20" s="143" t="s">
        <v>517</v>
      </c>
      <c r="E20" s="11"/>
      <c r="F20" s="129"/>
      <c r="G20" s="44"/>
      <c r="H20" s="43"/>
      <c r="I20" s="43"/>
      <c r="J20" s="43"/>
      <c r="K20" s="33"/>
      <c r="L20" s="33"/>
    </row>
    <row r="21" spans="1:19" ht="72.75">
      <c r="A21" s="9">
        <f t="shared" si="0"/>
        <v>18</v>
      </c>
      <c r="B21" s="64" t="s">
        <v>518</v>
      </c>
      <c r="C21" s="65" t="s">
        <v>519</v>
      </c>
      <c r="D21" s="143" t="s">
        <v>520</v>
      </c>
      <c r="E21" s="20" t="s">
        <v>521</v>
      </c>
      <c r="F21" s="152" t="str">
        <f>DATEDIF(G21,H21,"y")&amp;"years"&amp;DATEDIF(G21,H21,"ym")&amp;"months"&amp;DATEDIF(G21,H21,"md")&amp;"days"</f>
        <v>24years7months5days</v>
      </c>
      <c r="G21" s="153">
        <v>36571</v>
      </c>
      <c r="H21" s="153">
        <v>45555</v>
      </c>
      <c r="I21" s="153"/>
      <c r="J21" s="43"/>
      <c r="K21" s="33"/>
      <c r="L21" s="33"/>
    </row>
    <row r="22" spans="1:19" ht="30.75">
      <c r="A22" s="9">
        <f t="shared" si="0"/>
        <v>19</v>
      </c>
      <c r="B22" s="64" t="s">
        <v>522</v>
      </c>
      <c r="C22" s="87" t="s">
        <v>523</v>
      </c>
      <c r="D22" s="143" t="s">
        <v>524</v>
      </c>
      <c r="E22" s="149" t="s">
        <v>525</v>
      </c>
      <c r="F22" s="43" t="str">
        <f ca="1">IF(HOUR(NOW())&lt;12,"Good Morning","Good Evening")</f>
        <v>Good Evening</v>
      </c>
      <c r="G22" s="71"/>
      <c r="H22" s="93"/>
      <c r="I22" s="93"/>
      <c r="J22" s="93"/>
      <c r="K22" s="33"/>
      <c r="L22" s="33"/>
    </row>
    <row r="23" spans="1:19" ht="30.75">
      <c r="A23" s="9">
        <f t="shared" si="0"/>
        <v>20</v>
      </c>
      <c r="B23" s="64" t="s">
        <v>526</v>
      </c>
      <c r="C23" s="65" t="s">
        <v>527</v>
      </c>
      <c r="D23" s="143" t="s">
        <v>528</v>
      </c>
      <c r="E23" s="149" t="s">
        <v>529</v>
      </c>
      <c r="F23" s="129" t="str">
        <f ca="1">IF(AND(WEEKDAY(TODAY(),1)=1,WEEKDAY(TODAY(),1)=7),"Weekend","Weekday")</f>
        <v>Weekday</v>
      </c>
      <c r="G23" s="43"/>
      <c r="H23" s="44"/>
      <c r="I23" s="43"/>
      <c r="J23" s="43"/>
      <c r="K23" s="33"/>
      <c r="L23" s="33"/>
    </row>
    <row r="24" spans="1:19" ht="30.75">
      <c r="A24" s="9">
        <f t="shared" si="0"/>
        <v>21</v>
      </c>
      <c r="B24" s="64" t="s">
        <v>530</v>
      </c>
      <c r="C24" s="65" t="s">
        <v>531</v>
      </c>
      <c r="D24" s="143" t="s">
        <v>532</v>
      </c>
      <c r="E24" s="150" t="s">
        <v>533</v>
      </c>
      <c r="F24" s="129" t="str">
        <f>IF(MOD(YEAR(G24),4)=0,"Leap Year","Not a Leap Year")</f>
        <v>Leap Year</v>
      </c>
      <c r="G24" s="154">
        <v>47031</v>
      </c>
      <c r="H24" s="44"/>
      <c r="I24" s="43"/>
      <c r="J24" s="43"/>
      <c r="K24" s="33"/>
      <c r="L24" s="33"/>
    </row>
    <row r="25" spans="1:19" ht="43.5">
      <c r="A25" s="9">
        <f t="shared" si="0"/>
        <v>22</v>
      </c>
      <c r="B25" s="64" t="s">
        <v>534</v>
      </c>
      <c r="C25" s="65" t="s">
        <v>535</v>
      </c>
      <c r="D25" s="143" t="s">
        <v>536</v>
      </c>
      <c r="E25" s="27" t="s">
        <v>537</v>
      </c>
      <c r="F25" s="155" t="str">
        <f>IF(MONTH(G25)&lt;4,YEAR(G25)-1,YEAR(G25))&amp;"-"&amp;IF(MONTH(G25)&lt;4,YEAR(G25),YEAR(G25)+1)</f>
        <v>2020-2021</v>
      </c>
      <c r="G25" s="112">
        <v>43931</v>
      </c>
      <c r="H25" s="44"/>
      <c r="I25" s="43"/>
      <c r="J25" s="43"/>
      <c r="K25" s="33"/>
      <c r="L25" s="33"/>
    </row>
    <row r="26" spans="1:19" ht="29.25">
      <c r="A26" s="12">
        <f>A25+1</f>
        <v>23</v>
      </c>
      <c r="B26" s="131" t="s">
        <v>538</v>
      </c>
      <c r="C26" s="114" t="s">
        <v>539</v>
      </c>
      <c r="D26" s="157" t="s">
        <v>540</v>
      </c>
      <c r="E26" s="158" t="s">
        <v>541</v>
      </c>
      <c r="F26" s="107">
        <f ca="1">TODAY()+7-WEEKDAY(TODAY()-7)</f>
        <v>45934</v>
      </c>
      <c r="G26" s="93"/>
      <c r="H26" s="71"/>
      <c r="I26" s="93"/>
      <c r="J26" s="93"/>
      <c r="K26" s="33"/>
      <c r="L26" s="33"/>
    </row>
    <row r="27" spans="1:19" ht="29.25">
      <c r="A27" s="4">
        <f t="shared" si="0"/>
        <v>24</v>
      </c>
      <c r="B27" s="34" t="s">
        <v>542</v>
      </c>
      <c r="C27" s="129" t="s">
        <v>448</v>
      </c>
      <c r="D27" s="143" t="s">
        <v>543</v>
      </c>
      <c r="E27" s="5"/>
      <c r="F27" s="129"/>
      <c r="G27" s="43"/>
      <c r="H27" s="43"/>
      <c r="I27" s="43"/>
      <c r="J27" s="43"/>
      <c r="K27" s="33"/>
      <c r="L27" s="33"/>
    </row>
    <row r="28" spans="1:19" ht="29.25">
      <c r="A28" s="4">
        <f t="shared" si="0"/>
        <v>25</v>
      </c>
      <c r="B28" s="34" t="s">
        <v>544</v>
      </c>
      <c r="C28" s="51" t="s">
        <v>545</v>
      </c>
      <c r="D28" s="15" t="s">
        <v>546</v>
      </c>
      <c r="E28" s="5"/>
      <c r="F28" s="129"/>
      <c r="G28" s="43"/>
      <c r="H28" s="43"/>
      <c r="I28" s="43"/>
      <c r="J28" s="43"/>
      <c r="K28" s="33"/>
      <c r="L28" s="33"/>
    </row>
    <row r="29" spans="1:19">
      <c r="A29" s="6"/>
      <c r="B29" s="6"/>
      <c r="C29" s="13"/>
      <c r="D29" s="13"/>
      <c r="E29" s="13"/>
      <c r="F29" s="156"/>
      <c r="G29" s="32"/>
      <c r="H29" s="32"/>
      <c r="I29" s="32"/>
      <c r="J29" s="32"/>
      <c r="K29" s="32"/>
      <c r="L29" s="32"/>
      <c r="M29" s="13"/>
      <c r="N29" s="13"/>
      <c r="O29" s="13"/>
      <c r="P29" s="13"/>
      <c r="Q29" s="13"/>
      <c r="R29" s="13"/>
      <c r="S29" s="13"/>
    </row>
    <row r="30" spans="1:19">
      <c r="A30" s="6"/>
      <c r="B30" s="6"/>
      <c r="C30" s="13"/>
      <c r="D30" s="13"/>
      <c r="E30" s="13"/>
      <c r="F30" s="156"/>
      <c r="G30" s="32"/>
      <c r="H30" s="32"/>
      <c r="I30" s="32"/>
      <c r="J30" s="32"/>
      <c r="K30" s="32"/>
      <c r="L30" s="32"/>
      <c r="M30" s="13"/>
      <c r="N30" s="13"/>
      <c r="O30" s="13"/>
      <c r="P30" s="13"/>
      <c r="Q30" s="13"/>
      <c r="R30" s="13"/>
      <c r="S30" s="13"/>
    </row>
    <row r="31" spans="1:19">
      <c r="A31" s="6"/>
      <c r="B31" s="6"/>
      <c r="C31" s="13"/>
      <c r="D31" s="13"/>
      <c r="E31" s="13"/>
      <c r="F31" s="156"/>
      <c r="G31" s="32"/>
      <c r="H31" s="32"/>
      <c r="I31" s="32"/>
      <c r="J31" s="32"/>
      <c r="K31" s="32"/>
      <c r="L31" s="32"/>
      <c r="M31" s="13"/>
      <c r="N31" s="13"/>
      <c r="O31" s="13"/>
      <c r="P31" s="13"/>
      <c r="Q31" s="13"/>
      <c r="R31" s="13"/>
      <c r="S31" s="13"/>
    </row>
    <row r="32" spans="1:19">
      <c r="A32" s="6"/>
      <c r="B32" s="6"/>
      <c r="C32" s="13"/>
      <c r="D32" s="13"/>
      <c r="E32" s="13"/>
      <c r="F32" s="156"/>
      <c r="G32" s="32"/>
      <c r="H32" s="32"/>
      <c r="I32" s="32"/>
      <c r="J32" s="32"/>
      <c r="K32" s="32"/>
      <c r="L32" s="32"/>
      <c r="M32" s="13"/>
      <c r="N32" s="13"/>
      <c r="O32" s="13"/>
      <c r="P32" s="13"/>
      <c r="Q32" s="13"/>
      <c r="R32" s="13"/>
      <c r="S32" s="13"/>
    </row>
    <row r="33" spans="1:12">
      <c r="A33" s="6"/>
      <c r="B33" s="6"/>
      <c r="C33" s="13"/>
      <c r="D33" s="13"/>
      <c r="F33" s="125"/>
      <c r="G33" s="33"/>
      <c r="H33" s="33"/>
      <c r="I33" s="33"/>
      <c r="J33" s="33"/>
      <c r="K33" s="33"/>
      <c r="L33" s="33"/>
    </row>
    <row r="34" spans="1:12">
      <c r="F34" s="125"/>
      <c r="G34" s="33"/>
      <c r="H34" s="33"/>
      <c r="I34" s="33"/>
      <c r="J34" s="33"/>
      <c r="K34" s="33"/>
      <c r="L34" s="33"/>
    </row>
    <row r="35" spans="1:12">
      <c r="F35" s="125"/>
      <c r="G35" s="33"/>
      <c r="H35" s="33"/>
      <c r="I35" s="33"/>
      <c r="J35" s="33"/>
      <c r="K35" s="33"/>
      <c r="L35" s="33"/>
    </row>
    <row r="36" spans="1:12">
      <c r="F36" s="125"/>
      <c r="G36" s="33"/>
      <c r="H36" s="33"/>
      <c r="I36" s="33"/>
      <c r="J36" s="33"/>
      <c r="K36" s="33"/>
      <c r="L36" s="33"/>
    </row>
    <row r="37" spans="1:12">
      <c r="F37" s="125"/>
      <c r="G37" s="33"/>
      <c r="H37" s="33"/>
      <c r="I37" s="33"/>
      <c r="J37" s="33"/>
      <c r="K37" s="33"/>
      <c r="L37" s="33"/>
    </row>
    <row r="38" spans="1:12">
      <c r="F38" s="125"/>
      <c r="G38" s="33"/>
      <c r="H38" s="33"/>
      <c r="I38" s="33"/>
      <c r="J38" s="33"/>
      <c r="K38" s="33"/>
      <c r="L38" s="33"/>
    </row>
    <row r="39" spans="1:12">
      <c r="F39" s="125"/>
      <c r="G39" s="33"/>
      <c r="H39" s="33"/>
      <c r="I39" s="33"/>
      <c r="J39" s="33"/>
      <c r="K39" s="33"/>
      <c r="L39" s="33"/>
    </row>
    <row r="40" spans="1:12">
      <c r="F40" s="125"/>
      <c r="G40" s="33"/>
      <c r="H40" s="33"/>
      <c r="I40" s="33"/>
      <c r="J40" s="33"/>
      <c r="K40" s="33"/>
      <c r="L40" s="33"/>
    </row>
    <row r="41" spans="1:12">
      <c r="F41" s="125"/>
      <c r="G41" s="33"/>
      <c r="H41" s="33"/>
      <c r="I41" s="33"/>
      <c r="J41" s="33"/>
      <c r="K41" s="33"/>
      <c r="L41" s="33"/>
    </row>
    <row r="42" spans="1:12">
      <c r="F42" s="125"/>
      <c r="G42" s="33"/>
      <c r="H42" s="33"/>
      <c r="I42" s="33"/>
      <c r="J42" s="33"/>
      <c r="K42" s="33"/>
      <c r="L42" s="33"/>
    </row>
    <row r="43" spans="1:12">
      <c r="F43" s="125"/>
      <c r="G43" s="33"/>
      <c r="H43" s="33"/>
      <c r="I43" s="33"/>
      <c r="J43" s="33"/>
      <c r="K43" s="33"/>
      <c r="L43" s="33"/>
    </row>
    <row r="44" spans="1:12">
      <c r="F44" s="125"/>
      <c r="G44" s="33"/>
      <c r="H44" s="33"/>
      <c r="I44" s="33"/>
      <c r="J44" s="33"/>
      <c r="K44" s="33"/>
      <c r="L44" s="33"/>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2025-09-20T02:46:34Z</dcterms:created>
  <dcterms:modified xsi:type="dcterms:W3CDTF">2025-10-03T13:48:59Z</dcterms:modified>
  <cp:category/>
  <cp:contentStatus/>
</cp:coreProperties>
</file>